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OneDrive\Desktop\PSY310\SOLO PROJECT\"/>
    </mc:Choice>
  </mc:AlternateContent>
  <xr:revisionPtr revIDLastSave="0" documentId="13_ncr:2001_{2CDA307A-8E47-4A0D-A0FC-D3D7B7A6E854}" xr6:coauthVersionLast="47" xr6:coauthVersionMax="47" xr10:uidLastSave="{00000000-0000-0000-0000-000000000000}"/>
  <bookViews>
    <workbookView xWindow="-110" yWindow="-110" windowWidth="19420" windowHeight="11500" firstSheet="6" activeTab="13" xr2:uid="{63F2D16A-A938-4989-B26B-2016A39D6BAA}"/>
  </bookViews>
  <sheets>
    <sheet name="p1" sheetId="1" r:id="rId1"/>
    <sheet name="p2" sheetId="2" r:id="rId2"/>
    <sheet name="p3" sheetId="3" r:id="rId3"/>
    <sheet name="p4" sheetId="4" r:id="rId4"/>
    <sheet name="p5" sheetId="5" r:id="rId5"/>
    <sheet name="p6" sheetId="6" r:id="rId6"/>
    <sheet name="p7" sheetId="7" r:id="rId7"/>
    <sheet name="p8" sheetId="8" r:id="rId8"/>
    <sheet name="p9" sheetId="9" r:id="rId9"/>
    <sheet name="p10" sheetId="10" r:id="rId10"/>
    <sheet name="p11" sheetId="11" r:id="rId11"/>
    <sheet name="p12" sheetId="12" r:id="rId12"/>
    <sheet name="descriptive stats" sheetId="16" r:id="rId13"/>
    <sheet name="anova_calc" sheetId="17" r:id="rId14"/>
    <sheet name="calculation" sheetId="13" r:id="rId15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3" i="17" l="1"/>
  <c r="C13" i="17"/>
  <c r="B13" i="17"/>
  <c r="D12" i="17"/>
  <c r="C12" i="17"/>
  <c r="B12" i="17"/>
  <c r="D11" i="17"/>
  <c r="C11" i="17"/>
  <c r="B11" i="17"/>
  <c r="D10" i="17"/>
  <c r="C10" i="17"/>
  <c r="B10" i="17"/>
  <c r="D9" i="17"/>
  <c r="C9" i="17"/>
  <c r="B9" i="17"/>
  <c r="D8" i="17"/>
  <c r="C8" i="17"/>
  <c r="B8" i="17"/>
  <c r="D7" i="17"/>
  <c r="C7" i="17"/>
  <c r="B7" i="17"/>
  <c r="D6" i="17"/>
  <c r="C6" i="17"/>
  <c r="B6" i="17"/>
  <c r="D5" i="17"/>
  <c r="C5" i="17"/>
  <c r="B5" i="17"/>
  <c r="D4" i="17"/>
  <c r="C4" i="17"/>
  <c r="B4" i="17"/>
  <c r="D3" i="17"/>
  <c r="C3" i="17"/>
  <c r="B3" i="17"/>
  <c r="D2" i="17"/>
  <c r="C2" i="17"/>
  <c r="B2" i="17"/>
  <c r="C15" i="13" l="1"/>
  <c r="B15" i="13"/>
  <c r="J49" i="1"/>
  <c r="K49" i="12"/>
  <c r="J49" i="12"/>
  <c r="K49" i="11"/>
  <c r="J49" i="11"/>
  <c r="K49" i="10"/>
  <c r="J49" i="10"/>
  <c r="K49" i="9"/>
  <c r="J49" i="9"/>
  <c r="K49" i="8"/>
  <c r="J49" i="8"/>
  <c r="K49" i="7"/>
  <c r="J49" i="7"/>
  <c r="K49" i="6"/>
  <c r="J49" i="6"/>
  <c r="K49" i="5"/>
  <c r="J49" i="5"/>
  <c r="K49" i="4"/>
  <c r="J49" i="4"/>
  <c r="K49" i="3"/>
  <c r="J49" i="3"/>
  <c r="K49" i="2"/>
  <c r="J49" i="2"/>
  <c r="K49" i="1"/>
</calcChain>
</file>

<file path=xl/sharedStrings.xml><?xml version="1.0" encoding="utf-8"?>
<sst xmlns="http://schemas.openxmlformats.org/spreadsheetml/2006/main" count="4646" uniqueCount="220">
  <si>
    <t>testAnger</t>
  </si>
  <si>
    <t>thisN</t>
  </si>
  <si>
    <t>thisTrialN</t>
  </si>
  <si>
    <t>thisRepN</t>
  </si>
  <si>
    <t>lureCold</t>
  </si>
  <si>
    <t>lureSleep</t>
  </si>
  <si>
    <t>final_test</t>
  </si>
  <si>
    <t>corrAns</t>
  </si>
  <si>
    <t>key_resp_test.keys</t>
  </si>
  <si>
    <t>key_resp_test.corr</t>
  </si>
  <si>
    <t>key_resp_test.rt</t>
  </si>
  <si>
    <t>key_resp_test.duration</t>
  </si>
  <si>
    <t>trialsAnger.thisRepN</t>
  </si>
  <si>
    <t>trialsAnger.thisTrialN</t>
  </si>
  <si>
    <t>trialsAnger.thisN</t>
  </si>
  <si>
    <t>trialsAnger.thisIndex</t>
  </si>
  <si>
    <t>trialsCold.thisRepN</t>
  </si>
  <si>
    <t>trialsCold.thisTrialN</t>
  </si>
  <si>
    <t>trialsCold.thisN</t>
  </si>
  <si>
    <t>trialsCold.thisIndex</t>
  </si>
  <si>
    <t>trialsSleep.thisRepN</t>
  </si>
  <si>
    <t>trialsSleep.thisTrialN</t>
  </si>
  <si>
    <t>trialsSleep.thisN</t>
  </si>
  <si>
    <t>trialsSleep.thisIndex</t>
  </si>
  <si>
    <t>trialsTest.thisRepN</t>
  </si>
  <si>
    <t>trialsTest.thisTrialN</t>
  </si>
  <si>
    <t>trialsTest.thisN</t>
  </si>
  <si>
    <t>trialsTest.thisIndex</t>
  </si>
  <si>
    <t>thisRow.t</t>
  </si>
  <si>
    <t>notes</t>
  </si>
  <si>
    <t>welcome.started</t>
  </si>
  <si>
    <t>text_welcome.started</t>
  </si>
  <si>
    <t>text_welcome.stopped</t>
  </si>
  <si>
    <t>welcome.stopped</t>
  </si>
  <si>
    <t>instr.started</t>
  </si>
  <si>
    <t>text_instr.started</t>
  </si>
  <si>
    <t>key_resp_instr1.started</t>
  </si>
  <si>
    <t>instr.stopped</t>
  </si>
  <si>
    <t>key_resp_instr1.keys</t>
  </si>
  <si>
    <t>key_resp_instr1.rt</t>
  </si>
  <si>
    <t>key_resp_instr1.duration</t>
  </si>
  <si>
    <t>lureAnger.started</t>
  </si>
  <si>
    <t>textAnger.started</t>
  </si>
  <si>
    <t>lureAnger.stopped</t>
  </si>
  <si>
    <t>blank.started</t>
  </si>
  <si>
    <t>textBlank.started</t>
  </si>
  <si>
    <t>blank.stopped</t>
  </si>
  <si>
    <t>lureCold_2.started</t>
  </si>
  <si>
    <t>textCold.started</t>
  </si>
  <si>
    <t>lureCold_2.stopped</t>
  </si>
  <si>
    <t>lureSleep_2.started</t>
  </si>
  <si>
    <t>textSleep.started</t>
  </si>
  <si>
    <t>lureSleep_2.stopped</t>
  </si>
  <si>
    <t>instr2.started</t>
  </si>
  <si>
    <t>text_instr2.started</t>
  </si>
  <si>
    <t>key_resp_instr2.started</t>
  </si>
  <si>
    <t>instr2.stopped</t>
  </si>
  <si>
    <t>key_resp_instr2.keys</t>
  </si>
  <si>
    <t>key_resp_instr2.rt</t>
  </si>
  <si>
    <t>key_resp_instr2.duration</t>
  </si>
  <si>
    <t>math.started</t>
  </si>
  <si>
    <t>textMath.started</t>
  </si>
  <si>
    <t>key_resp_math.started</t>
  </si>
  <si>
    <t>math.stopped</t>
  </si>
  <si>
    <t>key_resp_math.keys</t>
  </si>
  <si>
    <t>key_resp_math.rt</t>
  </si>
  <si>
    <t>key_resp_math.duration</t>
  </si>
  <si>
    <t>instr3.started</t>
  </si>
  <si>
    <t>text_instr3.started</t>
  </si>
  <si>
    <t>key_resp_instr3.started</t>
  </si>
  <si>
    <t>instr3.stopped</t>
  </si>
  <si>
    <t>key_resp_instr3.keys</t>
  </si>
  <si>
    <t>key_resp_instr3.rt</t>
  </si>
  <si>
    <t>key_resp_instr3.duration</t>
  </si>
  <si>
    <t>test.started</t>
  </si>
  <si>
    <t>textTest.started</t>
  </si>
  <si>
    <t>key_resp_test.started</t>
  </si>
  <si>
    <t>test.stopped</t>
  </si>
  <si>
    <t>trialsTest.key_resp_test.keys</t>
  </si>
  <si>
    <t>trialsTest.key_resp_test.corr</t>
  </si>
  <si>
    <t>trialsTest.key_resp_test.rt</t>
  </si>
  <si>
    <t>trialsTest.key_resp_test.duration</t>
  </si>
  <si>
    <t>textBlank.stopped</t>
  </si>
  <si>
    <t>thanks.started</t>
  </si>
  <si>
    <t>textThanks.started</t>
  </si>
  <si>
    <t>key_resp_exit.started</t>
  </si>
  <si>
    <t>thanks.stopped</t>
  </si>
  <si>
    <t>key_resp_exit.keys</t>
  </si>
  <si>
    <t>key_resp_exit.rt</t>
  </si>
  <si>
    <t>key_resp_exit.duration</t>
  </si>
  <si>
    <t>participant</t>
  </si>
  <si>
    <t>session</t>
  </si>
  <si>
    <t>date</t>
  </si>
  <si>
    <t>expName</t>
  </si>
  <si>
    <t>expVersion</t>
  </si>
  <si>
    <t>psychopyVersion</t>
  </si>
  <si>
    <t>frameRate</t>
  </si>
  <si>
    <t>expStart</t>
  </si>
  <si>
    <t>2025-11-19_15h45.34.400</t>
  </si>
  <si>
    <t>solo_project_drm</t>
  </si>
  <si>
    <t>2025.1.1</t>
  </si>
  <si>
    <t>2025-11-19 15h46.15.449141 +0530</t>
  </si>
  <si>
    <t>space</t>
  </si>
  <si>
    <t>None</t>
  </si>
  <si>
    <t>hate</t>
  </si>
  <si>
    <t>fear</t>
  </si>
  <si>
    <t>mad</t>
  </si>
  <si>
    <t>emotion</t>
  </si>
  <si>
    <t>temper</t>
  </si>
  <si>
    <t>mean</t>
  </si>
  <si>
    <t>fight</t>
  </si>
  <si>
    <t>rage</t>
  </si>
  <si>
    <t>wrath</t>
  </si>
  <si>
    <t>fury</t>
  </si>
  <si>
    <t>air</t>
  </si>
  <si>
    <t>shiver</t>
  </si>
  <si>
    <t>snow</t>
  </si>
  <si>
    <t>winter</t>
  </si>
  <si>
    <t>freeze</t>
  </si>
  <si>
    <t>hot</t>
  </si>
  <si>
    <t>chilly</t>
  </si>
  <si>
    <t>wet</t>
  </si>
  <si>
    <t>weather</t>
  </si>
  <si>
    <t>ice</t>
  </si>
  <si>
    <t>blanket</t>
  </si>
  <si>
    <t>slumber</t>
  </si>
  <si>
    <t>tired</t>
  </si>
  <si>
    <t>snore</t>
  </si>
  <si>
    <t>nap</t>
  </si>
  <si>
    <t>bed</t>
  </si>
  <si>
    <t>dream</t>
  </si>
  <si>
    <t>awake</t>
  </si>
  <si>
    <t>yawn</t>
  </si>
  <si>
    <t>rest</t>
  </si>
  <si>
    <t>y</t>
  </si>
  <si>
    <t>guitar</t>
  </si>
  <si>
    <t>n</t>
  </si>
  <si>
    <t>apple</t>
  </si>
  <si>
    <t>anger</t>
  </si>
  <si>
    <t>ocean</t>
  </si>
  <si>
    <t>sleep</t>
  </si>
  <si>
    <t>cold</t>
  </si>
  <si>
    <t>2025-11-19_16h00.14.191</t>
  </si>
  <si>
    <t>2025-11-19 16h00.27.881503 +0530</t>
  </si>
  <si>
    <t>2025-11-19_16h02.52.350</t>
  </si>
  <si>
    <t>2025-11-19 16h03.36.757816 +0530</t>
  </si>
  <si>
    <t>2025-11-19_17h00.13.848</t>
  </si>
  <si>
    <t>2025-11-19 17h02.22.696517 +0530</t>
  </si>
  <si>
    <t>2025-11-19_17h04.28.718</t>
  </si>
  <si>
    <t>2025-11-19 17h04.36.982332 +0530</t>
  </si>
  <si>
    <t>textAnger.stopped</t>
  </si>
  <si>
    <t>textCold.stopped</t>
  </si>
  <si>
    <t>2025-11-19_22h37.02.203</t>
  </si>
  <si>
    <t>2025-11-19 22h37.48.267751 +0530</t>
  </si>
  <si>
    <t>2025-11-20_09h37.06.158</t>
  </si>
  <si>
    <t>2025-11-20 09h37.12.108989 +0530</t>
  </si>
  <si>
    <t>2025-11-20_09h39.11.231</t>
  </si>
  <si>
    <t>2025-11-20 09h39.16.432735 +0530</t>
  </si>
  <si>
    <t>2025-11-20_09h41.49.267</t>
  </si>
  <si>
    <t>2025-11-20 09h42.02.869405 +0530</t>
  </si>
  <si>
    <t>2025-11-20_09h43.36.246</t>
  </si>
  <si>
    <t>2025-11-20 09h43.43.194351 +0530</t>
  </si>
  <si>
    <t>2025-11-20_09h46.07.556</t>
  </si>
  <si>
    <t>2025-11-20 09h46.14.557493 +0530</t>
  </si>
  <si>
    <t>2025-11-20_09h47.50.210</t>
  </si>
  <si>
    <t>2025-11-20 09h47.55.466962 +0530</t>
  </si>
  <si>
    <t>mean accuracy</t>
  </si>
  <si>
    <t>mean rt</t>
  </si>
  <si>
    <t>p1</t>
  </si>
  <si>
    <t>p2</t>
  </si>
  <si>
    <t>p3</t>
  </si>
  <si>
    <t>p4</t>
  </si>
  <si>
    <t>p5</t>
  </si>
  <si>
    <t>p6</t>
  </si>
  <si>
    <t>p7</t>
  </si>
  <si>
    <t>p8</t>
  </si>
  <si>
    <t>p10</t>
  </si>
  <si>
    <t>p11</t>
  </si>
  <si>
    <t>p12</t>
  </si>
  <si>
    <t>p9</t>
  </si>
  <si>
    <t>Sum</t>
  </si>
  <si>
    <t>Average</t>
  </si>
  <si>
    <t>Running Total</t>
  </si>
  <si>
    <t>Count</t>
  </si>
  <si>
    <t>p13</t>
  </si>
  <si>
    <t xml:space="preserve">target (T) hit rate </t>
  </si>
  <si>
    <t>critical lure (CL) false alarm</t>
  </si>
  <si>
    <t>unrelated foil (F) false alarm</t>
  </si>
  <si>
    <t>target words =</t>
  </si>
  <si>
    <t xml:space="preserve">studied words </t>
  </si>
  <si>
    <t>unrelated foils =</t>
  </si>
  <si>
    <t>critical lures =</t>
  </si>
  <si>
    <t>no.of "yes" response to target words / total target words (30)</t>
  </si>
  <si>
    <t>calculation for each participant:</t>
  </si>
  <si>
    <r>
      <t xml:space="preserve">new words, unrelated to lists </t>
    </r>
    <r>
      <rPr>
        <sz val="11"/>
        <color theme="1"/>
        <rFont val="Calibri"/>
        <family val="2"/>
        <scheme val="minor"/>
      </rPr>
      <t>(</t>
    </r>
    <r>
      <rPr>
        <i/>
        <sz val="11"/>
        <color theme="1"/>
        <rFont val="Calibri"/>
        <family val="2"/>
        <scheme val="minor"/>
      </rPr>
      <t>guitar, apple, ocean</t>
    </r>
    <r>
      <rPr>
        <sz val="11"/>
        <color theme="1"/>
        <rFont val="Calibri"/>
        <family val="2"/>
        <scheme val="minor"/>
      </rPr>
      <t>)</t>
    </r>
  </si>
  <si>
    <r>
      <t>words strongly asssociated with studied lists, leading to false memory effect</t>
    </r>
    <r>
      <rPr>
        <sz val="11"/>
        <color theme="1"/>
        <rFont val="Calibri"/>
        <family val="2"/>
        <scheme val="minor"/>
      </rPr>
      <t xml:space="preserve"> (</t>
    </r>
    <r>
      <rPr>
        <i/>
        <sz val="11"/>
        <color theme="1"/>
        <rFont val="Calibri"/>
        <family val="2"/>
        <scheme val="minor"/>
      </rPr>
      <t>sleep, anger, cold</t>
    </r>
    <r>
      <rPr>
        <sz val="11"/>
        <color theme="1"/>
        <rFont val="Calibri"/>
        <family val="2"/>
        <scheme val="minor"/>
      </rPr>
      <t xml:space="preserve">) </t>
    </r>
  </si>
  <si>
    <t xml:space="preserve">no. of "yes" responses to critical lures / total critical lures </t>
  </si>
  <si>
    <t>no. of "yes" responses to unrelated foils / total unrelated foils</t>
  </si>
  <si>
    <t>Descriptives</t>
  </si>
  <si>
    <t>RM Factor 1</t>
  </si>
  <si>
    <t>N</t>
  </si>
  <si>
    <t>Mean</t>
  </si>
  <si>
    <t>SD</t>
  </si>
  <si>
    <t>SE</t>
  </si>
  <si>
    <t>Coefficient of variation</t>
  </si>
  <si>
    <t>Target</t>
  </si>
  <si>
    <t>CriticalLure</t>
  </si>
  <si>
    <t>NaN</t>
  </si>
  <si>
    <t>UnrelatedFoil</t>
  </si>
  <si>
    <t>Within Subjects Effects</t>
  </si>
  <si>
    <t>Cases</t>
  </si>
  <si>
    <t>Sum of Squares</t>
  </si>
  <si>
    <t>df</t>
  </si>
  <si>
    <t>Mean Square</t>
  </si>
  <si>
    <t>F</t>
  </si>
  <si>
    <t>p</t>
  </si>
  <si>
    <t>&lt; .001</t>
  </si>
  <si>
    <t>Residuals</t>
  </si>
  <si>
    <r>
      <t>Note.</t>
    </r>
    <r>
      <rPr>
        <sz val="6"/>
        <color rgb="FF000000"/>
        <rFont val="Arial"/>
        <family val="2"/>
      </rPr>
      <t xml:space="preserve">  Type III Sum of Squares</t>
    </r>
  </si>
  <si>
    <t>Between Subjects Effects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</si>
</sst>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8"/>
      <color rgb="FF000000"/>
      <name val="Arial"/>
      <family val="2"/>
    </font>
    <font>
      <sz val="6"/>
      <color rgb="FF000000"/>
      <name val="Arial"/>
      <family val="2"/>
    </font>
    <font>
      <i/>
      <sz val="6"/>
      <color rgb="FF000000"/>
      <name val="Arial"/>
      <family val="2"/>
    </font>
    <font>
      <b/>
      <i/>
      <sz val="6"/>
      <color rgb="FF00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EBEB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 tint="-0.3499862666707357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0" fontId="1" fillId="0" borderId="0" xfId="0" applyFont="1" applyAlignment="1">
      <alignment horizontal="center"/>
    </xf>
    <xf numFmtId="0" fontId="0" fillId="3" borderId="1" xfId="0" applyFill="1" applyBorder="1" applyAlignment="1">
      <alignment horizontal="center"/>
    </xf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Fill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4" fillId="0" borderId="0" xfId="0" applyFont="1" applyAlignment="1">
      <alignment horizontal="right" vertical="center" wrapText="1"/>
    </xf>
    <xf numFmtId="0" fontId="4" fillId="4" borderId="0" xfId="0" applyFont="1" applyFill="1" applyAlignment="1">
      <alignment horizontal="left" vertical="center" wrapText="1"/>
    </xf>
    <xf numFmtId="0" fontId="4" fillId="4" borderId="0" xfId="0" applyFont="1" applyFill="1" applyAlignment="1">
      <alignment horizontal="right" vertical="center" wrapText="1"/>
    </xf>
    <xf numFmtId="0" fontId="5" fillId="0" borderId="0" xfId="0" applyFont="1" applyAlignment="1">
      <alignment horizontal="left" vertical="center" wrapText="1"/>
    </xf>
    <xf numFmtId="0" fontId="4" fillId="4" borderId="0" xfId="0" applyFont="1" applyFill="1" applyAlignment="1">
      <alignment horizontal="right" vertical="center" wrapText="1"/>
    </xf>
    <xf numFmtId="0" fontId="4" fillId="5" borderId="0" xfId="0" applyFont="1" applyFill="1" applyAlignment="1">
      <alignment horizontal="left" vertical="center" wrapText="1"/>
    </xf>
    <xf numFmtId="0" fontId="4" fillId="5" borderId="0" xfId="0" applyFont="1" applyFill="1" applyAlignment="1">
      <alignment horizontal="right" vertical="center" wrapText="1"/>
    </xf>
    <xf numFmtId="0" fontId="4" fillId="5" borderId="0" xfId="0" applyFont="1" applyFill="1" applyAlignment="1">
      <alignment horizontal="right" vertical="center" wrapText="1"/>
    </xf>
    <xf numFmtId="0" fontId="0" fillId="0" borderId="0" xfId="0" applyFill="1" applyAlignment="1">
      <alignment vertical="center" wrapText="1"/>
    </xf>
    <xf numFmtId="0" fontId="6" fillId="6" borderId="0" xfId="0" applyFont="1" applyFill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539077-AC2D-48C6-9F80-3A68838DC6C6}">
  <dimension ref="A1:CT49"/>
  <sheetViews>
    <sheetView topLeftCell="A34" workbookViewId="0">
      <selection activeCell="I43" sqref="I43"/>
    </sheetView>
  </sheetViews>
  <sheetFormatPr defaultRowHeight="14.5" x14ac:dyDescent="0.35"/>
  <cols>
    <col min="1" max="16384" width="8.7265625" style="1"/>
  </cols>
  <sheetData>
    <row r="1" spans="1:9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</row>
    <row r="2" spans="1:98" x14ac:dyDescent="0.35">
      <c r="AE2" s="1">
        <v>1.67359999613836E-3</v>
      </c>
      <c r="AF2" s="1">
        <v>4.4149000314064298E-3</v>
      </c>
      <c r="AG2" s="1">
        <v>3.0068807000061399</v>
      </c>
      <c r="AH2" s="1">
        <v>2.99022570002125</v>
      </c>
      <c r="CM2" s="1">
        <v>1</v>
      </c>
      <c r="CN2" s="1">
        <v>1</v>
      </c>
      <c r="CO2" s="1" t="s">
        <v>98</v>
      </c>
      <c r="CP2" s="1" t="s">
        <v>99</v>
      </c>
      <c r="CR2" s="1" t="s">
        <v>100</v>
      </c>
      <c r="CS2" s="1">
        <v>59.880669798819397</v>
      </c>
      <c r="CT2" s="1" t="s">
        <v>101</v>
      </c>
    </row>
    <row r="3" spans="1:98" x14ac:dyDescent="0.35">
      <c r="AI3" s="1">
        <v>2.9902774000074701</v>
      </c>
      <c r="AJ3" s="1">
        <v>3.0068807000061399</v>
      </c>
      <c r="AK3" s="1">
        <v>3.0068807000061399</v>
      </c>
      <c r="AL3" s="1">
        <v>5.5203408999950598</v>
      </c>
      <c r="AM3" s="1" t="s">
        <v>102</v>
      </c>
      <c r="AN3" s="1">
        <v>2.4995862999930898</v>
      </c>
      <c r="AO3" s="1" t="s">
        <v>103</v>
      </c>
      <c r="CM3" s="1">
        <v>1</v>
      </c>
      <c r="CN3" s="1">
        <v>1</v>
      </c>
      <c r="CO3" s="1" t="s">
        <v>98</v>
      </c>
      <c r="CP3" s="1" t="s">
        <v>99</v>
      </c>
      <c r="CR3" s="1" t="s">
        <v>100</v>
      </c>
      <c r="CS3" s="1">
        <v>59.880669798819397</v>
      </c>
      <c r="CT3" s="1" t="s">
        <v>101</v>
      </c>
    </row>
    <row r="4" spans="1:98" x14ac:dyDescent="0.35">
      <c r="A4" s="1" t="s">
        <v>104</v>
      </c>
      <c r="B4" s="1">
        <v>0</v>
      </c>
      <c r="C4" s="1">
        <v>0</v>
      </c>
      <c r="D4" s="1">
        <v>0</v>
      </c>
      <c r="M4" s="1">
        <v>0</v>
      </c>
      <c r="N4" s="1">
        <v>0</v>
      </c>
      <c r="O4" s="1">
        <v>0</v>
      </c>
      <c r="P4" s="1">
        <v>2</v>
      </c>
      <c r="AC4" s="1">
        <v>5.5297947000362901</v>
      </c>
      <c r="AP4" s="1">
        <v>5.5272391000180496</v>
      </c>
      <c r="AQ4" s="1">
        <v>5.5297947000362901</v>
      </c>
      <c r="AR4" s="1">
        <v>6.5236496000434201</v>
      </c>
      <c r="AS4" s="1">
        <v>6.5237195999943598</v>
      </c>
      <c r="AT4" s="1">
        <v>6.5402691999915898</v>
      </c>
      <c r="AU4" s="1">
        <v>7.0234854000154803</v>
      </c>
      <c r="CM4" s="1">
        <v>1</v>
      </c>
      <c r="CN4" s="1">
        <v>1</v>
      </c>
      <c r="CO4" s="1" t="s">
        <v>98</v>
      </c>
      <c r="CP4" s="1" t="s">
        <v>99</v>
      </c>
      <c r="CR4" s="1" t="s">
        <v>100</v>
      </c>
      <c r="CS4" s="1">
        <v>59.880669798819397</v>
      </c>
      <c r="CT4" s="1" t="s">
        <v>101</v>
      </c>
    </row>
    <row r="5" spans="1:98" x14ac:dyDescent="0.35">
      <c r="A5" s="1" t="s">
        <v>105</v>
      </c>
      <c r="B5" s="1">
        <v>1</v>
      </c>
      <c r="C5" s="1">
        <v>1</v>
      </c>
      <c r="D5" s="1">
        <v>0</v>
      </c>
      <c r="M5" s="1">
        <v>0</v>
      </c>
      <c r="N5" s="1">
        <v>1</v>
      </c>
      <c r="O5" s="1">
        <v>1</v>
      </c>
      <c r="P5" s="1">
        <v>1</v>
      </c>
      <c r="AC5" s="1">
        <v>7.0397845000261396</v>
      </c>
      <c r="AP5" s="1">
        <v>7.02761470002587</v>
      </c>
      <c r="AQ5" s="1">
        <v>7.0397845000261396</v>
      </c>
      <c r="AR5" s="1">
        <v>8.0232240000041202</v>
      </c>
      <c r="AS5" s="1">
        <v>8.0232885000295902</v>
      </c>
      <c r="AT5" s="1">
        <v>8.0401040000142494</v>
      </c>
      <c r="AU5" s="1">
        <v>8.5236678000073791</v>
      </c>
      <c r="CM5" s="1">
        <v>1</v>
      </c>
      <c r="CN5" s="1">
        <v>1</v>
      </c>
      <c r="CO5" s="1" t="s">
        <v>98</v>
      </c>
      <c r="CP5" s="1" t="s">
        <v>99</v>
      </c>
      <c r="CR5" s="1" t="s">
        <v>100</v>
      </c>
      <c r="CS5" s="1">
        <v>59.880669798819397</v>
      </c>
      <c r="CT5" s="1" t="s">
        <v>101</v>
      </c>
    </row>
    <row r="6" spans="1:98" x14ac:dyDescent="0.35">
      <c r="A6" s="1" t="s">
        <v>106</v>
      </c>
      <c r="B6" s="1">
        <v>2</v>
      </c>
      <c r="C6" s="1">
        <v>2</v>
      </c>
      <c r="D6" s="1">
        <v>0</v>
      </c>
      <c r="M6" s="1">
        <v>0</v>
      </c>
      <c r="N6" s="1">
        <v>2</v>
      </c>
      <c r="O6" s="1">
        <v>2</v>
      </c>
      <c r="P6" s="1">
        <v>0</v>
      </c>
      <c r="AC6" s="1">
        <v>8.5399948999984101</v>
      </c>
      <c r="AP6" s="1">
        <v>8.5262909000157308</v>
      </c>
      <c r="AQ6" s="1">
        <v>8.5399948999984101</v>
      </c>
      <c r="AR6" s="1">
        <v>9.5239363000146096</v>
      </c>
      <c r="AS6" s="1">
        <v>9.5240304000326397</v>
      </c>
      <c r="AT6" s="1">
        <v>9.5402180000091903</v>
      </c>
      <c r="AU6" s="1">
        <v>10.023420100042101</v>
      </c>
      <c r="CM6" s="1">
        <v>1</v>
      </c>
      <c r="CN6" s="1">
        <v>1</v>
      </c>
      <c r="CO6" s="1" t="s">
        <v>98</v>
      </c>
      <c r="CP6" s="1" t="s">
        <v>99</v>
      </c>
      <c r="CR6" s="1" t="s">
        <v>100</v>
      </c>
      <c r="CS6" s="1">
        <v>59.880669798819397</v>
      </c>
      <c r="CT6" s="1" t="s">
        <v>101</v>
      </c>
    </row>
    <row r="7" spans="1:98" x14ac:dyDescent="0.35">
      <c r="A7" s="1" t="s">
        <v>107</v>
      </c>
      <c r="B7" s="1">
        <v>3</v>
      </c>
      <c r="C7" s="1">
        <v>3</v>
      </c>
      <c r="D7" s="1">
        <v>0</v>
      </c>
      <c r="M7" s="1">
        <v>0</v>
      </c>
      <c r="N7" s="1">
        <v>3</v>
      </c>
      <c r="O7" s="1">
        <v>3</v>
      </c>
      <c r="P7" s="1">
        <v>9</v>
      </c>
      <c r="AC7" s="1">
        <v>10.039876600028901</v>
      </c>
      <c r="AP7" s="1">
        <v>10.026566800021101</v>
      </c>
      <c r="AQ7" s="1">
        <v>10.039876600028901</v>
      </c>
      <c r="AR7" s="1">
        <v>11.0235086000175</v>
      </c>
      <c r="AS7" s="1">
        <v>11.023560400004399</v>
      </c>
      <c r="AT7" s="1">
        <v>11.0399865999934</v>
      </c>
      <c r="AU7" s="1">
        <v>11.523950200004</v>
      </c>
      <c r="CM7" s="1">
        <v>1</v>
      </c>
      <c r="CN7" s="1">
        <v>1</v>
      </c>
      <c r="CO7" s="1" t="s">
        <v>98</v>
      </c>
      <c r="CP7" s="1" t="s">
        <v>99</v>
      </c>
      <c r="CR7" s="1" t="s">
        <v>100</v>
      </c>
      <c r="CS7" s="1">
        <v>59.880669798819397</v>
      </c>
      <c r="CT7" s="1" t="s">
        <v>101</v>
      </c>
    </row>
    <row r="8" spans="1:98" x14ac:dyDescent="0.35">
      <c r="A8" s="1" t="s">
        <v>108</v>
      </c>
      <c r="B8" s="1">
        <v>4</v>
      </c>
      <c r="C8" s="1">
        <v>4</v>
      </c>
      <c r="D8" s="1">
        <v>0</v>
      </c>
      <c r="M8" s="1">
        <v>0</v>
      </c>
      <c r="N8" s="1">
        <v>4</v>
      </c>
      <c r="O8" s="1">
        <v>4</v>
      </c>
      <c r="P8" s="1">
        <v>4</v>
      </c>
      <c r="AC8" s="1">
        <v>11.5402006999938</v>
      </c>
      <c r="AP8" s="1">
        <v>11.5282426000339</v>
      </c>
      <c r="AQ8" s="1">
        <v>11.5402006999938</v>
      </c>
      <c r="AR8" s="1">
        <v>12.5234712000237</v>
      </c>
      <c r="AS8" s="1">
        <v>12.5235309000127</v>
      </c>
      <c r="AT8" s="1">
        <v>12.5398723999969</v>
      </c>
      <c r="AU8" s="1">
        <v>13.023531600018</v>
      </c>
      <c r="CM8" s="1">
        <v>1</v>
      </c>
      <c r="CN8" s="1">
        <v>1</v>
      </c>
      <c r="CO8" s="1" t="s">
        <v>98</v>
      </c>
      <c r="CP8" s="1" t="s">
        <v>99</v>
      </c>
      <c r="CR8" s="1" t="s">
        <v>100</v>
      </c>
      <c r="CS8" s="1">
        <v>59.880669798819397</v>
      </c>
      <c r="CT8" s="1" t="s">
        <v>101</v>
      </c>
    </row>
    <row r="9" spans="1:98" x14ac:dyDescent="0.35">
      <c r="A9" s="1" t="s">
        <v>109</v>
      </c>
      <c r="B9" s="1">
        <v>5</v>
      </c>
      <c r="C9" s="1">
        <v>5</v>
      </c>
      <c r="D9" s="1">
        <v>0</v>
      </c>
      <c r="M9" s="1">
        <v>0</v>
      </c>
      <c r="N9" s="1">
        <v>5</v>
      </c>
      <c r="O9" s="1">
        <v>5</v>
      </c>
      <c r="P9" s="1">
        <v>8</v>
      </c>
      <c r="AC9" s="1">
        <v>13.0402789000072</v>
      </c>
      <c r="AP9" s="1">
        <v>13.027936200029201</v>
      </c>
      <c r="AQ9" s="1">
        <v>13.0402789000072</v>
      </c>
      <c r="AR9" s="1">
        <v>14.023422900005199</v>
      </c>
      <c r="AS9" s="1">
        <v>14.0234825999941</v>
      </c>
      <c r="AT9" s="1">
        <v>14.040287300013</v>
      </c>
      <c r="AU9" s="1">
        <v>14.5230396999977</v>
      </c>
      <c r="CM9" s="1">
        <v>1</v>
      </c>
      <c r="CN9" s="1">
        <v>1</v>
      </c>
      <c r="CO9" s="1" t="s">
        <v>98</v>
      </c>
      <c r="CP9" s="1" t="s">
        <v>99</v>
      </c>
      <c r="CR9" s="1" t="s">
        <v>100</v>
      </c>
      <c r="CS9" s="1">
        <v>59.880669798819397</v>
      </c>
      <c r="CT9" s="1" t="s">
        <v>101</v>
      </c>
    </row>
    <row r="10" spans="1:98" x14ac:dyDescent="0.35">
      <c r="A10" s="1" t="s">
        <v>110</v>
      </c>
      <c r="B10" s="1">
        <v>6</v>
      </c>
      <c r="C10" s="1">
        <v>6</v>
      </c>
      <c r="D10" s="1">
        <v>0</v>
      </c>
      <c r="M10" s="1">
        <v>0</v>
      </c>
      <c r="N10" s="1">
        <v>6</v>
      </c>
      <c r="O10" s="1">
        <v>6</v>
      </c>
      <c r="P10" s="1">
        <v>7</v>
      </c>
      <c r="AC10" s="1">
        <v>14.5403853000025</v>
      </c>
      <c r="AP10" s="1">
        <v>14.5260129999951</v>
      </c>
      <c r="AQ10" s="1">
        <v>14.5403853000025</v>
      </c>
      <c r="AR10" s="1">
        <v>15.5232981000444</v>
      </c>
      <c r="AS10" s="1">
        <v>15.523351000039799</v>
      </c>
      <c r="AT10" s="1">
        <v>15.539823400031301</v>
      </c>
      <c r="AU10" s="1">
        <v>16.0233384000021</v>
      </c>
      <c r="CM10" s="1">
        <v>1</v>
      </c>
      <c r="CN10" s="1">
        <v>1</v>
      </c>
      <c r="CO10" s="1" t="s">
        <v>98</v>
      </c>
      <c r="CP10" s="1" t="s">
        <v>99</v>
      </c>
      <c r="CR10" s="1" t="s">
        <v>100</v>
      </c>
      <c r="CS10" s="1">
        <v>59.880669798819397</v>
      </c>
      <c r="CT10" s="1" t="s">
        <v>101</v>
      </c>
    </row>
    <row r="11" spans="1:98" x14ac:dyDescent="0.35">
      <c r="A11" s="1" t="s">
        <v>111</v>
      </c>
      <c r="B11" s="1">
        <v>7</v>
      </c>
      <c r="C11" s="1">
        <v>7</v>
      </c>
      <c r="D11" s="1">
        <v>0</v>
      </c>
      <c r="M11" s="1">
        <v>0</v>
      </c>
      <c r="N11" s="1">
        <v>7</v>
      </c>
      <c r="O11" s="1">
        <v>7</v>
      </c>
      <c r="P11" s="1">
        <v>3</v>
      </c>
      <c r="AC11" s="1">
        <v>16.039877600036501</v>
      </c>
      <c r="AP11" s="1">
        <v>16.0270869000232</v>
      </c>
      <c r="AQ11" s="1">
        <v>16.039877600036501</v>
      </c>
      <c r="AR11" s="1">
        <v>17.023183700046499</v>
      </c>
      <c r="AS11" s="1">
        <v>17.023247800010701</v>
      </c>
      <c r="AT11" s="1">
        <v>17.040010800003</v>
      </c>
      <c r="AU11" s="1">
        <v>17.5237312000244</v>
      </c>
      <c r="CM11" s="1">
        <v>1</v>
      </c>
      <c r="CN11" s="1">
        <v>1</v>
      </c>
      <c r="CO11" s="1" t="s">
        <v>98</v>
      </c>
      <c r="CP11" s="1" t="s">
        <v>99</v>
      </c>
      <c r="CR11" s="1" t="s">
        <v>100</v>
      </c>
      <c r="CS11" s="1">
        <v>59.880669798819397</v>
      </c>
      <c r="CT11" s="1" t="s">
        <v>101</v>
      </c>
    </row>
    <row r="12" spans="1:98" x14ac:dyDescent="0.35">
      <c r="A12" s="1" t="s">
        <v>112</v>
      </c>
      <c r="B12" s="1">
        <v>8</v>
      </c>
      <c r="C12" s="1">
        <v>8</v>
      </c>
      <c r="D12" s="1">
        <v>0</v>
      </c>
      <c r="M12" s="1">
        <v>0</v>
      </c>
      <c r="N12" s="1">
        <v>8</v>
      </c>
      <c r="O12" s="1">
        <v>8</v>
      </c>
      <c r="P12" s="1">
        <v>6</v>
      </c>
      <c r="AC12" s="1">
        <v>17.540195200010199</v>
      </c>
      <c r="AP12" s="1">
        <v>17.528548000031101</v>
      </c>
      <c r="AQ12" s="1">
        <v>17.540195200010199</v>
      </c>
      <c r="AR12" s="1">
        <v>18.523175300040698</v>
      </c>
      <c r="AS12" s="1">
        <v>18.523231900006</v>
      </c>
      <c r="AT12" s="1">
        <v>18.539866100007199</v>
      </c>
      <c r="AU12" s="1">
        <v>19.0236169000272</v>
      </c>
      <c r="CM12" s="1">
        <v>1</v>
      </c>
      <c r="CN12" s="1">
        <v>1</v>
      </c>
      <c r="CO12" s="1" t="s">
        <v>98</v>
      </c>
      <c r="CP12" s="1" t="s">
        <v>99</v>
      </c>
      <c r="CR12" s="1" t="s">
        <v>100</v>
      </c>
      <c r="CS12" s="1">
        <v>59.880669798819397</v>
      </c>
      <c r="CT12" s="1" t="s">
        <v>101</v>
      </c>
    </row>
    <row r="13" spans="1:98" x14ac:dyDescent="0.35">
      <c r="A13" s="1" t="s">
        <v>113</v>
      </c>
      <c r="B13" s="1">
        <v>9</v>
      </c>
      <c r="C13" s="1">
        <v>9</v>
      </c>
      <c r="D13" s="1">
        <v>0</v>
      </c>
      <c r="M13" s="1">
        <v>0</v>
      </c>
      <c r="N13" s="1">
        <v>9</v>
      </c>
      <c r="O13" s="1">
        <v>9</v>
      </c>
      <c r="P13" s="1">
        <v>5</v>
      </c>
      <c r="AC13" s="1">
        <v>19.039861600031099</v>
      </c>
      <c r="AP13" s="1">
        <v>19.026991199992999</v>
      </c>
      <c r="AQ13" s="1">
        <v>19.039861600031099</v>
      </c>
      <c r="AR13" s="1">
        <v>20.023500100010999</v>
      </c>
      <c r="AS13" s="1">
        <v>20.0235841000103</v>
      </c>
      <c r="AT13" s="1">
        <v>20.039923600037501</v>
      </c>
      <c r="AU13" s="1">
        <v>20.5235679000034</v>
      </c>
      <c r="CM13" s="1">
        <v>1</v>
      </c>
      <c r="CN13" s="1">
        <v>1</v>
      </c>
      <c r="CO13" s="1" t="s">
        <v>98</v>
      </c>
      <c r="CP13" s="1" t="s">
        <v>99</v>
      </c>
      <c r="CR13" s="1" t="s">
        <v>100</v>
      </c>
      <c r="CS13" s="1">
        <v>59.880669798819397</v>
      </c>
      <c r="CT13" s="1" t="s">
        <v>101</v>
      </c>
    </row>
    <row r="14" spans="1:98" x14ac:dyDescent="0.35">
      <c r="B14" s="1">
        <v>0</v>
      </c>
      <c r="C14" s="1">
        <v>0</v>
      </c>
      <c r="D14" s="1">
        <v>0</v>
      </c>
      <c r="E14" s="1" t="s">
        <v>114</v>
      </c>
      <c r="Q14" s="1">
        <v>0</v>
      </c>
      <c r="R14" s="1">
        <v>0</v>
      </c>
      <c r="S14" s="1">
        <v>0</v>
      </c>
      <c r="T14" s="1">
        <v>5</v>
      </c>
      <c r="AC14" s="1">
        <v>20.541567500040401</v>
      </c>
      <c r="AS14" s="1">
        <v>21.523598900006601</v>
      </c>
      <c r="AT14" s="1">
        <v>21.540077400044499</v>
      </c>
      <c r="AU14" s="1">
        <v>22.023476100002799</v>
      </c>
      <c r="AV14" s="1">
        <v>20.5385578999994</v>
      </c>
      <c r="AW14" s="1">
        <v>20.541567500040401</v>
      </c>
      <c r="AX14" s="1">
        <v>21.523517600027802</v>
      </c>
      <c r="CM14" s="1">
        <v>1</v>
      </c>
      <c r="CN14" s="1">
        <v>1</v>
      </c>
      <c r="CO14" s="1" t="s">
        <v>98</v>
      </c>
      <c r="CP14" s="1" t="s">
        <v>99</v>
      </c>
      <c r="CR14" s="1" t="s">
        <v>100</v>
      </c>
      <c r="CS14" s="1">
        <v>59.880669798819397</v>
      </c>
      <c r="CT14" s="1" t="s">
        <v>101</v>
      </c>
    </row>
    <row r="15" spans="1:98" x14ac:dyDescent="0.35">
      <c r="B15" s="1">
        <v>1</v>
      </c>
      <c r="C15" s="1">
        <v>1</v>
      </c>
      <c r="D15" s="1">
        <v>0</v>
      </c>
      <c r="E15" s="1" t="s">
        <v>115</v>
      </c>
      <c r="Q15" s="1">
        <v>0</v>
      </c>
      <c r="R15" s="1">
        <v>1</v>
      </c>
      <c r="S15" s="1">
        <v>1</v>
      </c>
      <c r="T15" s="1">
        <v>7</v>
      </c>
      <c r="AC15" s="1">
        <v>22.040059300023099</v>
      </c>
      <c r="AS15" s="1">
        <v>23.023596400045701</v>
      </c>
      <c r="AT15" s="1">
        <v>23.040142500016302</v>
      </c>
      <c r="AU15" s="1">
        <v>23.5238184000481</v>
      </c>
      <c r="AV15" s="1">
        <v>22.028362200013301</v>
      </c>
      <c r="AW15" s="1">
        <v>22.040059300023099</v>
      </c>
      <c r="AX15" s="1">
        <v>23.023535200045401</v>
      </c>
      <c r="CM15" s="1">
        <v>1</v>
      </c>
      <c r="CN15" s="1">
        <v>1</v>
      </c>
      <c r="CO15" s="1" t="s">
        <v>98</v>
      </c>
      <c r="CP15" s="1" t="s">
        <v>99</v>
      </c>
      <c r="CR15" s="1" t="s">
        <v>100</v>
      </c>
      <c r="CS15" s="1">
        <v>59.880669798819397</v>
      </c>
      <c r="CT15" s="1" t="s">
        <v>101</v>
      </c>
    </row>
    <row r="16" spans="1:98" x14ac:dyDescent="0.35">
      <c r="B16" s="1">
        <v>2</v>
      </c>
      <c r="C16" s="1">
        <v>2</v>
      </c>
      <c r="D16" s="1">
        <v>0</v>
      </c>
      <c r="E16" s="1" t="s">
        <v>116</v>
      </c>
      <c r="Q16" s="1">
        <v>0</v>
      </c>
      <c r="R16" s="1">
        <v>2</v>
      </c>
      <c r="S16" s="1">
        <v>2</v>
      </c>
      <c r="T16" s="1">
        <v>0</v>
      </c>
      <c r="AC16" s="1">
        <v>23.5398986000218</v>
      </c>
      <c r="AS16" s="1">
        <v>24.523979099991202</v>
      </c>
      <c r="AT16" s="1">
        <v>24.540166600025199</v>
      </c>
      <c r="AU16" s="1">
        <v>25.023287500021901</v>
      </c>
      <c r="AV16" s="1">
        <v>23.527828900027</v>
      </c>
      <c r="AW16" s="1">
        <v>23.5398986000218</v>
      </c>
      <c r="AX16" s="1">
        <v>24.523905500012901</v>
      </c>
      <c r="CM16" s="1">
        <v>1</v>
      </c>
      <c r="CN16" s="1">
        <v>1</v>
      </c>
      <c r="CO16" s="1" t="s">
        <v>98</v>
      </c>
      <c r="CP16" s="1" t="s">
        <v>99</v>
      </c>
      <c r="CR16" s="1" t="s">
        <v>100</v>
      </c>
      <c r="CS16" s="1">
        <v>59.880669798819397</v>
      </c>
      <c r="CT16" s="1" t="s">
        <v>101</v>
      </c>
    </row>
    <row r="17" spans="2:98" x14ac:dyDescent="0.35">
      <c r="B17" s="1">
        <v>3</v>
      </c>
      <c r="C17" s="1">
        <v>3</v>
      </c>
      <c r="D17" s="1">
        <v>0</v>
      </c>
      <c r="E17" s="1" t="s">
        <v>117</v>
      </c>
      <c r="Q17" s="1">
        <v>0</v>
      </c>
      <c r="R17" s="1">
        <v>3</v>
      </c>
      <c r="S17" s="1">
        <v>3</v>
      </c>
      <c r="T17" s="1">
        <v>1</v>
      </c>
      <c r="AC17" s="1">
        <v>25.040038500039302</v>
      </c>
      <c r="AS17" s="1">
        <v>26.0234836000017</v>
      </c>
      <c r="AT17" s="1">
        <v>26.039755600038902</v>
      </c>
      <c r="AU17" s="1">
        <v>26.523361500003301</v>
      </c>
      <c r="AV17" s="1">
        <v>25.026769100048099</v>
      </c>
      <c r="AW17" s="1">
        <v>25.040038500039302</v>
      </c>
      <c r="AX17" s="1">
        <v>26.023396000033198</v>
      </c>
      <c r="CM17" s="1">
        <v>1</v>
      </c>
      <c r="CN17" s="1">
        <v>1</v>
      </c>
      <c r="CO17" s="1" t="s">
        <v>98</v>
      </c>
      <c r="CP17" s="1" t="s">
        <v>99</v>
      </c>
      <c r="CR17" s="1" t="s">
        <v>100</v>
      </c>
      <c r="CS17" s="1">
        <v>59.880669798819397</v>
      </c>
      <c r="CT17" s="1" t="s">
        <v>101</v>
      </c>
    </row>
    <row r="18" spans="2:98" x14ac:dyDescent="0.35">
      <c r="B18" s="1">
        <v>4</v>
      </c>
      <c r="C18" s="1">
        <v>4</v>
      </c>
      <c r="D18" s="1">
        <v>0</v>
      </c>
      <c r="E18" s="1" t="s">
        <v>118</v>
      </c>
      <c r="Q18" s="1">
        <v>0</v>
      </c>
      <c r="R18" s="1">
        <v>4</v>
      </c>
      <c r="S18" s="1">
        <v>4</v>
      </c>
      <c r="T18" s="1">
        <v>6</v>
      </c>
      <c r="AC18" s="1">
        <v>26.540160500037</v>
      </c>
      <c r="AS18" s="1">
        <v>27.5235546000185</v>
      </c>
      <c r="AT18" s="1">
        <v>27.539808900037301</v>
      </c>
      <c r="AU18" s="1">
        <v>28.022941900009702</v>
      </c>
      <c r="AV18" s="1">
        <v>26.5266147000365</v>
      </c>
      <c r="AW18" s="1">
        <v>26.540160500037</v>
      </c>
      <c r="AX18" s="1">
        <v>27.523477800015801</v>
      </c>
      <c r="CM18" s="1">
        <v>1</v>
      </c>
      <c r="CN18" s="1">
        <v>1</v>
      </c>
      <c r="CO18" s="1" t="s">
        <v>98</v>
      </c>
      <c r="CP18" s="1" t="s">
        <v>99</v>
      </c>
      <c r="CR18" s="1" t="s">
        <v>100</v>
      </c>
      <c r="CS18" s="1">
        <v>59.880669798819397</v>
      </c>
      <c r="CT18" s="1" t="s">
        <v>101</v>
      </c>
    </row>
    <row r="19" spans="2:98" x14ac:dyDescent="0.35">
      <c r="B19" s="1">
        <v>5</v>
      </c>
      <c r="C19" s="1">
        <v>5</v>
      </c>
      <c r="D19" s="1">
        <v>0</v>
      </c>
      <c r="E19" s="1" t="s">
        <v>119</v>
      </c>
      <c r="Q19" s="1">
        <v>0</v>
      </c>
      <c r="R19" s="1">
        <v>5</v>
      </c>
      <c r="S19" s="1">
        <v>5</v>
      </c>
      <c r="T19" s="1">
        <v>9</v>
      </c>
      <c r="AC19" s="1">
        <v>28.0400201000156</v>
      </c>
      <c r="AS19" s="1">
        <v>29.0227293000207</v>
      </c>
      <c r="AT19" s="1">
        <v>29.039286900020599</v>
      </c>
      <c r="AU19" s="1">
        <v>29.5229446000303</v>
      </c>
      <c r="AV19" s="1">
        <v>28.025806699995801</v>
      </c>
      <c r="AW19" s="1">
        <v>28.0400201000156</v>
      </c>
      <c r="AX19" s="1">
        <v>29.022698600019702</v>
      </c>
      <c r="CM19" s="1">
        <v>1</v>
      </c>
      <c r="CN19" s="1">
        <v>1</v>
      </c>
      <c r="CO19" s="1" t="s">
        <v>98</v>
      </c>
      <c r="CP19" s="1" t="s">
        <v>99</v>
      </c>
      <c r="CR19" s="1" t="s">
        <v>100</v>
      </c>
      <c r="CS19" s="1">
        <v>59.880669798819397</v>
      </c>
      <c r="CT19" s="1" t="s">
        <v>101</v>
      </c>
    </row>
    <row r="20" spans="2:98" x14ac:dyDescent="0.35">
      <c r="B20" s="1">
        <v>6</v>
      </c>
      <c r="C20" s="1">
        <v>6</v>
      </c>
      <c r="D20" s="1">
        <v>0</v>
      </c>
      <c r="E20" s="1" t="s">
        <v>120</v>
      </c>
      <c r="Q20" s="1">
        <v>0</v>
      </c>
      <c r="R20" s="1">
        <v>6</v>
      </c>
      <c r="S20" s="1">
        <v>6</v>
      </c>
      <c r="T20" s="1">
        <v>4</v>
      </c>
      <c r="AC20" s="1">
        <v>29.539317600021601</v>
      </c>
      <c r="AS20" s="1">
        <v>30.523326300026302</v>
      </c>
      <c r="AT20" s="1">
        <v>30.5398128000088</v>
      </c>
      <c r="AU20" s="1">
        <v>31.0231044000247</v>
      </c>
      <c r="AV20" s="1">
        <v>29.526169500022601</v>
      </c>
      <c r="AW20" s="1">
        <v>29.539317600021601</v>
      </c>
      <c r="AX20" s="1">
        <v>30.5232325000106</v>
      </c>
      <c r="CM20" s="1">
        <v>1</v>
      </c>
      <c r="CN20" s="1">
        <v>1</v>
      </c>
      <c r="CO20" s="1" t="s">
        <v>98</v>
      </c>
      <c r="CP20" s="1" t="s">
        <v>99</v>
      </c>
      <c r="CR20" s="1" t="s">
        <v>100</v>
      </c>
      <c r="CS20" s="1">
        <v>59.880669798819397</v>
      </c>
      <c r="CT20" s="1" t="s">
        <v>101</v>
      </c>
    </row>
    <row r="21" spans="2:98" x14ac:dyDescent="0.35">
      <c r="B21" s="1">
        <v>7</v>
      </c>
      <c r="C21" s="1">
        <v>7</v>
      </c>
      <c r="D21" s="1">
        <v>0</v>
      </c>
      <c r="E21" s="1" t="s">
        <v>121</v>
      </c>
      <c r="Q21" s="1">
        <v>0</v>
      </c>
      <c r="R21" s="1">
        <v>7</v>
      </c>
      <c r="S21" s="1">
        <v>7</v>
      </c>
      <c r="T21" s="1">
        <v>3</v>
      </c>
      <c r="AC21" s="1">
        <v>31.0395185000379</v>
      </c>
      <c r="AS21" s="1">
        <v>32.023575400002301</v>
      </c>
      <c r="AT21" s="1">
        <v>32.039962000038898</v>
      </c>
      <c r="AU21" s="1">
        <v>32.523390399990603</v>
      </c>
      <c r="AV21" s="1">
        <v>31.026973100029799</v>
      </c>
      <c r="AW21" s="1">
        <v>31.0395185000379</v>
      </c>
      <c r="AX21" s="1">
        <v>32.023474400048102</v>
      </c>
      <c r="CM21" s="1">
        <v>1</v>
      </c>
      <c r="CN21" s="1">
        <v>1</v>
      </c>
      <c r="CO21" s="1" t="s">
        <v>98</v>
      </c>
      <c r="CP21" s="1" t="s">
        <v>99</v>
      </c>
      <c r="CR21" s="1" t="s">
        <v>100</v>
      </c>
      <c r="CS21" s="1">
        <v>59.880669798819397</v>
      </c>
      <c r="CT21" s="1" t="s">
        <v>101</v>
      </c>
    </row>
    <row r="22" spans="2:98" x14ac:dyDescent="0.35">
      <c r="B22" s="1">
        <v>8</v>
      </c>
      <c r="C22" s="1">
        <v>8</v>
      </c>
      <c r="D22" s="1">
        <v>0</v>
      </c>
      <c r="E22" s="1" t="s">
        <v>122</v>
      </c>
      <c r="Q22" s="1">
        <v>0</v>
      </c>
      <c r="R22" s="1">
        <v>8</v>
      </c>
      <c r="S22" s="1">
        <v>8</v>
      </c>
      <c r="T22" s="1">
        <v>8</v>
      </c>
      <c r="AC22" s="1">
        <v>32.539786100038299</v>
      </c>
      <c r="AS22" s="1">
        <v>33.523013900034101</v>
      </c>
      <c r="AT22" s="1">
        <v>33.539827900007303</v>
      </c>
      <c r="AU22" s="1">
        <v>34.0228122000116</v>
      </c>
      <c r="AV22" s="1">
        <v>32.529531300009602</v>
      </c>
      <c r="AW22" s="1">
        <v>32.539786100038299</v>
      </c>
      <c r="AX22" s="1">
        <v>33.522962899995001</v>
      </c>
      <c r="CM22" s="1">
        <v>1</v>
      </c>
      <c r="CN22" s="1">
        <v>1</v>
      </c>
      <c r="CO22" s="1" t="s">
        <v>98</v>
      </c>
      <c r="CP22" s="1" t="s">
        <v>99</v>
      </c>
      <c r="CR22" s="1" t="s">
        <v>100</v>
      </c>
      <c r="CS22" s="1">
        <v>59.880669798819397</v>
      </c>
      <c r="CT22" s="1" t="s">
        <v>101</v>
      </c>
    </row>
    <row r="23" spans="2:98" x14ac:dyDescent="0.35">
      <c r="B23" s="1">
        <v>9</v>
      </c>
      <c r="C23" s="1">
        <v>9</v>
      </c>
      <c r="D23" s="1">
        <v>0</v>
      </c>
      <c r="E23" s="1" t="s">
        <v>123</v>
      </c>
      <c r="Q23" s="1">
        <v>0</v>
      </c>
      <c r="R23" s="1">
        <v>9</v>
      </c>
      <c r="S23" s="1">
        <v>9</v>
      </c>
      <c r="T23" s="1">
        <v>2</v>
      </c>
      <c r="AC23" s="1">
        <v>34.039325900026597</v>
      </c>
      <c r="AS23" s="1">
        <v>35.022987400006897</v>
      </c>
      <c r="AT23" s="1">
        <v>35.039386000018503</v>
      </c>
      <c r="AU23" s="1">
        <v>35.522639800037702</v>
      </c>
      <c r="AV23" s="1">
        <v>34.024195600009897</v>
      </c>
      <c r="AW23" s="1">
        <v>34.039325900026597</v>
      </c>
      <c r="AX23" s="1">
        <v>35.022930700040803</v>
      </c>
      <c r="CM23" s="1">
        <v>1</v>
      </c>
      <c r="CN23" s="1">
        <v>1</v>
      </c>
      <c r="CO23" s="1" t="s">
        <v>98</v>
      </c>
      <c r="CP23" s="1" t="s">
        <v>99</v>
      </c>
      <c r="CR23" s="1" t="s">
        <v>100</v>
      </c>
      <c r="CS23" s="1">
        <v>59.880669798819397</v>
      </c>
      <c r="CT23" s="1" t="s">
        <v>101</v>
      </c>
    </row>
    <row r="24" spans="2:98" x14ac:dyDescent="0.35">
      <c r="B24" s="1">
        <v>0</v>
      </c>
      <c r="C24" s="1">
        <v>0</v>
      </c>
      <c r="D24" s="1">
        <v>0</v>
      </c>
      <c r="F24" s="1" t="s">
        <v>124</v>
      </c>
      <c r="U24" s="1">
        <v>0</v>
      </c>
      <c r="V24" s="1">
        <v>0</v>
      </c>
      <c r="W24" s="1">
        <v>0</v>
      </c>
      <c r="X24" s="1">
        <v>7</v>
      </c>
      <c r="AC24" s="1">
        <v>35.5880722000147</v>
      </c>
      <c r="AS24" s="1">
        <v>36.522872700006701</v>
      </c>
      <c r="AT24" s="1">
        <v>36.539390199992297</v>
      </c>
      <c r="AU24" s="1">
        <v>37.023388400033497</v>
      </c>
      <c r="AY24" s="1">
        <v>35.585349500004597</v>
      </c>
      <c r="AZ24" s="1">
        <v>35.5880722000147</v>
      </c>
      <c r="BA24" s="1">
        <v>36.522825099993497</v>
      </c>
      <c r="CM24" s="1">
        <v>1</v>
      </c>
      <c r="CN24" s="1">
        <v>1</v>
      </c>
      <c r="CO24" s="1" t="s">
        <v>98</v>
      </c>
      <c r="CP24" s="1" t="s">
        <v>99</v>
      </c>
      <c r="CR24" s="1" t="s">
        <v>100</v>
      </c>
      <c r="CS24" s="1">
        <v>59.880669798819397</v>
      </c>
      <c r="CT24" s="1" t="s">
        <v>101</v>
      </c>
    </row>
    <row r="25" spans="2:98" x14ac:dyDescent="0.35">
      <c r="B25" s="1">
        <v>1</v>
      </c>
      <c r="C25" s="1">
        <v>1</v>
      </c>
      <c r="D25" s="1">
        <v>0</v>
      </c>
      <c r="F25" s="1" t="s">
        <v>125</v>
      </c>
      <c r="U25" s="1">
        <v>0</v>
      </c>
      <c r="V25" s="1">
        <v>1</v>
      </c>
      <c r="W25" s="1">
        <v>1</v>
      </c>
      <c r="X25" s="1">
        <v>8</v>
      </c>
      <c r="AC25" s="1">
        <v>37.0397210000082</v>
      </c>
      <c r="AS25" s="1">
        <v>38.023499500006402</v>
      </c>
      <c r="AT25" s="1">
        <v>38.039914300024897</v>
      </c>
      <c r="AU25" s="1">
        <v>38.523437099996897</v>
      </c>
      <c r="AY25" s="1">
        <v>37.0280810000258</v>
      </c>
      <c r="AZ25" s="1">
        <v>37.0397210000082</v>
      </c>
      <c r="BA25" s="1">
        <v>38.023419500037498</v>
      </c>
      <c r="CM25" s="1">
        <v>1</v>
      </c>
      <c r="CN25" s="1">
        <v>1</v>
      </c>
      <c r="CO25" s="1" t="s">
        <v>98</v>
      </c>
      <c r="CP25" s="1" t="s">
        <v>99</v>
      </c>
      <c r="CR25" s="1" t="s">
        <v>100</v>
      </c>
      <c r="CS25" s="1">
        <v>59.880669798819397</v>
      </c>
      <c r="CT25" s="1" t="s">
        <v>101</v>
      </c>
    </row>
    <row r="26" spans="2:98" x14ac:dyDescent="0.35">
      <c r="B26" s="1">
        <v>2</v>
      </c>
      <c r="C26" s="1">
        <v>2</v>
      </c>
      <c r="D26" s="1">
        <v>0</v>
      </c>
      <c r="F26" s="1" t="s">
        <v>126</v>
      </c>
      <c r="U26" s="1">
        <v>0</v>
      </c>
      <c r="V26" s="1">
        <v>2</v>
      </c>
      <c r="W26" s="1">
        <v>2</v>
      </c>
      <c r="X26" s="1">
        <v>4</v>
      </c>
      <c r="AC26" s="1">
        <v>38.539833799994</v>
      </c>
      <c r="AS26" s="1">
        <v>39.523346200003203</v>
      </c>
      <c r="AT26" s="1">
        <v>39.5398259999929</v>
      </c>
      <c r="AU26" s="1">
        <v>40.023202000011203</v>
      </c>
      <c r="AY26" s="1">
        <v>38.527929200034102</v>
      </c>
      <c r="AZ26" s="1">
        <v>38.539833799994</v>
      </c>
      <c r="BA26" s="1">
        <v>39.523267000040498</v>
      </c>
      <c r="CM26" s="1">
        <v>1</v>
      </c>
      <c r="CN26" s="1">
        <v>1</v>
      </c>
      <c r="CO26" s="1" t="s">
        <v>98</v>
      </c>
      <c r="CP26" s="1" t="s">
        <v>99</v>
      </c>
      <c r="CR26" s="1" t="s">
        <v>100</v>
      </c>
      <c r="CS26" s="1">
        <v>59.880669798819397</v>
      </c>
      <c r="CT26" s="1" t="s">
        <v>101</v>
      </c>
    </row>
    <row r="27" spans="2:98" x14ac:dyDescent="0.35">
      <c r="B27" s="1">
        <v>3</v>
      </c>
      <c r="C27" s="1">
        <v>3</v>
      </c>
      <c r="D27" s="1">
        <v>0</v>
      </c>
      <c r="F27" s="1" t="s">
        <v>127</v>
      </c>
      <c r="U27" s="1">
        <v>0</v>
      </c>
      <c r="V27" s="1">
        <v>3</v>
      </c>
      <c r="W27" s="1">
        <v>3</v>
      </c>
      <c r="X27" s="1">
        <v>5</v>
      </c>
      <c r="AC27" s="1">
        <v>40.039683900016797</v>
      </c>
      <c r="AS27" s="1">
        <v>41.0235865000286</v>
      </c>
      <c r="AT27" s="1">
        <v>41.039616900030502</v>
      </c>
      <c r="AU27" s="1">
        <v>41.523022600042097</v>
      </c>
      <c r="AY27" s="1">
        <v>40.026905900042003</v>
      </c>
      <c r="AZ27" s="1">
        <v>40.039683900016797</v>
      </c>
      <c r="BA27" s="1">
        <v>41.023500000010202</v>
      </c>
      <c r="CM27" s="1">
        <v>1</v>
      </c>
      <c r="CN27" s="1">
        <v>1</v>
      </c>
      <c r="CO27" s="1" t="s">
        <v>98</v>
      </c>
      <c r="CP27" s="1" t="s">
        <v>99</v>
      </c>
      <c r="CR27" s="1" t="s">
        <v>100</v>
      </c>
      <c r="CS27" s="1">
        <v>59.880669798819397</v>
      </c>
      <c r="CT27" s="1" t="s">
        <v>101</v>
      </c>
    </row>
    <row r="28" spans="2:98" x14ac:dyDescent="0.35">
      <c r="B28" s="1">
        <v>4</v>
      </c>
      <c r="C28" s="1">
        <v>4</v>
      </c>
      <c r="D28" s="1">
        <v>0</v>
      </c>
      <c r="F28" s="1" t="s">
        <v>128</v>
      </c>
      <c r="U28" s="1">
        <v>0</v>
      </c>
      <c r="V28" s="1">
        <v>4</v>
      </c>
      <c r="W28" s="1">
        <v>4</v>
      </c>
      <c r="X28" s="1">
        <v>6</v>
      </c>
      <c r="AC28" s="1">
        <v>41.539455600024603</v>
      </c>
      <c r="AS28" s="1">
        <v>42.523744800011599</v>
      </c>
      <c r="AT28" s="1">
        <v>42.539924600045197</v>
      </c>
      <c r="AU28" s="1">
        <v>43.023164600017402</v>
      </c>
      <c r="AY28" s="1">
        <v>41.527074100042199</v>
      </c>
      <c r="AZ28" s="1">
        <v>41.539455600024603</v>
      </c>
      <c r="BA28" s="1">
        <v>42.523657999990903</v>
      </c>
      <c r="CM28" s="1">
        <v>1</v>
      </c>
      <c r="CN28" s="1">
        <v>1</v>
      </c>
      <c r="CO28" s="1" t="s">
        <v>98</v>
      </c>
      <c r="CP28" s="1" t="s">
        <v>99</v>
      </c>
      <c r="CR28" s="1" t="s">
        <v>100</v>
      </c>
      <c r="CS28" s="1">
        <v>59.880669798819397</v>
      </c>
      <c r="CT28" s="1" t="s">
        <v>101</v>
      </c>
    </row>
    <row r="29" spans="2:98" x14ac:dyDescent="0.35">
      <c r="B29" s="1">
        <v>5</v>
      </c>
      <c r="C29" s="1">
        <v>5</v>
      </c>
      <c r="D29" s="1">
        <v>0</v>
      </c>
      <c r="F29" s="1" t="s">
        <v>129</v>
      </c>
      <c r="U29" s="1">
        <v>0</v>
      </c>
      <c r="V29" s="1">
        <v>5</v>
      </c>
      <c r="W29" s="1">
        <v>5</v>
      </c>
      <c r="X29" s="1">
        <v>0</v>
      </c>
      <c r="AC29" s="1">
        <v>43.039517300028798</v>
      </c>
      <c r="AS29" s="1">
        <v>44.023378600017097</v>
      </c>
      <c r="AT29" s="1">
        <v>44.039731700031503</v>
      </c>
      <c r="AU29" s="1">
        <v>44.523365300032303</v>
      </c>
      <c r="AY29" s="1">
        <v>43.027914600039303</v>
      </c>
      <c r="AZ29" s="1">
        <v>43.039517300028798</v>
      </c>
      <c r="BA29" s="1">
        <v>44.023294100013999</v>
      </c>
      <c r="CM29" s="1">
        <v>1</v>
      </c>
      <c r="CN29" s="1">
        <v>1</v>
      </c>
      <c r="CO29" s="1" t="s">
        <v>98</v>
      </c>
      <c r="CP29" s="1" t="s">
        <v>99</v>
      </c>
      <c r="CR29" s="1" t="s">
        <v>100</v>
      </c>
      <c r="CS29" s="1">
        <v>59.880669798819397</v>
      </c>
      <c r="CT29" s="1" t="s">
        <v>101</v>
      </c>
    </row>
    <row r="30" spans="2:98" x14ac:dyDescent="0.35">
      <c r="B30" s="1">
        <v>6</v>
      </c>
      <c r="C30" s="1">
        <v>6</v>
      </c>
      <c r="D30" s="1">
        <v>0</v>
      </c>
      <c r="F30" s="1" t="s">
        <v>130</v>
      </c>
      <c r="U30" s="1">
        <v>0</v>
      </c>
      <c r="V30" s="1">
        <v>6</v>
      </c>
      <c r="W30" s="1">
        <v>6</v>
      </c>
      <c r="X30" s="1">
        <v>3</v>
      </c>
      <c r="AC30" s="1">
        <v>44.539593900029999</v>
      </c>
      <c r="AS30" s="1">
        <v>45.523328400042303</v>
      </c>
      <c r="AT30" s="1">
        <v>45.539829200017202</v>
      </c>
      <c r="AU30" s="1">
        <v>46.023665000044197</v>
      </c>
      <c r="AY30" s="1">
        <v>44.527742000005603</v>
      </c>
      <c r="AZ30" s="1">
        <v>44.539593900029999</v>
      </c>
      <c r="BA30" s="1">
        <v>45.523242400027797</v>
      </c>
      <c r="CM30" s="1">
        <v>1</v>
      </c>
      <c r="CN30" s="1">
        <v>1</v>
      </c>
      <c r="CO30" s="1" t="s">
        <v>98</v>
      </c>
      <c r="CP30" s="1" t="s">
        <v>99</v>
      </c>
      <c r="CR30" s="1" t="s">
        <v>100</v>
      </c>
      <c r="CS30" s="1">
        <v>59.880669798819397</v>
      </c>
      <c r="CT30" s="1" t="s">
        <v>101</v>
      </c>
    </row>
    <row r="31" spans="2:98" x14ac:dyDescent="0.35">
      <c r="B31" s="1">
        <v>7</v>
      </c>
      <c r="C31" s="1">
        <v>7</v>
      </c>
      <c r="D31" s="1">
        <v>0</v>
      </c>
      <c r="F31" s="1" t="s">
        <v>131</v>
      </c>
      <c r="U31" s="1">
        <v>0</v>
      </c>
      <c r="V31" s="1">
        <v>7</v>
      </c>
      <c r="W31" s="1">
        <v>7</v>
      </c>
      <c r="X31" s="1">
        <v>2</v>
      </c>
      <c r="AC31" s="1">
        <v>46.039315300003999</v>
      </c>
      <c r="AS31" s="1">
        <v>47.022978900000403</v>
      </c>
      <c r="AT31" s="1">
        <v>47.039418200030902</v>
      </c>
      <c r="AU31" s="1">
        <v>47.522461600019597</v>
      </c>
      <c r="AY31" s="1">
        <v>46.028481100045603</v>
      </c>
      <c r="AZ31" s="1">
        <v>46.039315300003999</v>
      </c>
      <c r="BA31" s="1">
        <v>47.022914100030903</v>
      </c>
      <c r="CM31" s="1">
        <v>1</v>
      </c>
      <c r="CN31" s="1">
        <v>1</v>
      </c>
      <c r="CO31" s="1" t="s">
        <v>98</v>
      </c>
      <c r="CP31" s="1" t="s">
        <v>99</v>
      </c>
      <c r="CR31" s="1" t="s">
        <v>100</v>
      </c>
      <c r="CS31" s="1">
        <v>59.880669798819397</v>
      </c>
      <c r="CT31" s="1" t="s">
        <v>101</v>
      </c>
    </row>
    <row r="32" spans="2:98" x14ac:dyDescent="0.35">
      <c r="B32" s="1">
        <v>8</v>
      </c>
      <c r="C32" s="1">
        <v>8</v>
      </c>
      <c r="D32" s="1">
        <v>0</v>
      </c>
      <c r="F32" s="1" t="s">
        <v>132</v>
      </c>
      <c r="U32" s="1">
        <v>0</v>
      </c>
      <c r="V32" s="1">
        <v>8</v>
      </c>
      <c r="W32" s="1">
        <v>8</v>
      </c>
      <c r="X32" s="1">
        <v>9</v>
      </c>
      <c r="AC32" s="1">
        <v>47.539104000024899</v>
      </c>
      <c r="AS32" s="1">
        <v>48.522770900046403</v>
      </c>
      <c r="AT32" s="1">
        <v>48.539269900007596</v>
      </c>
      <c r="AU32" s="1">
        <v>49.022747200040598</v>
      </c>
      <c r="AY32" s="1">
        <v>47.524981900001798</v>
      </c>
      <c r="AZ32" s="1">
        <v>47.539104000024899</v>
      </c>
      <c r="BA32" s="1">
        <v>48.5227215000195</v>
      </c>
      <c r="CM32" s="1">
        <v>1</v>
      </c>
      <c r="CN32" s="1">
        <v>1</v>
      </c>
      <c r="CO32" s="1" t="s">
        <v>98</v>
      </c>
      <c r="CP32" s="1" t="s">
        <v>99</v>
      </c>
      <c r="CR32" s="1" t="s">
        <v>100</v>
      </c>
      <c r="CS32" s="1">
        <v>59.880669798819397</v>
      </c>
      <c r="CT32" s="1" t="s">
        <v>101</v>
      </c>
    </row>
    <row r="33" spans="2:98" x14ac:dyDescent="0.35">
      <c r="B33" s="1">
        <v>9</v>
      </c>
      <c r="C33" s="1">
        <v>9</v>
      </c>
      <c r="D33" s="1">
        <v>0</v>
      </c>
      <c r="F33" s="1" t="s">
        <v>133</v>
      </c>
      <c r="U33" s="1">
        <v>0</v>
      </c>
      <c r="V33" s="1">
        <v>9</v>
      </c>
      <c r="W33" s="1">
        <v>9</v>
      </c>
      <c r="X33" s="1">
        <v>1</v>
      </c>
      <c r="AC33" s="1">
        <v>49.039220100035799</v>
      </c>
      <c r="AS33" s="1">
        <v>50.023188700026303</v>
      </c>
      <c r="AT33" s="1">
        <v>50.0397495999932</v>
      </c>
      <c r="AU33" s="1">
        <v>50.5232109000207</v>
      </c>
      <c r="AY33" s="1">
        <v>49.025703800027202</v>
      </c>
      <c r="AZ33" s="1">
        <v>49.039220100035799</v>
      </c>
      <c r="BA33" s="1">
        <v>50.023107300046803</v>
      </c>
      <c r="CM33" s="1">
        <v>1</v>
      </c>
      <c r="CN33" s="1">
        <v>1</v>
      </c>
      <c r="CO33" s="1" t="s">
        <v>98</v>
      </c>
      <c r="CP33" s="1" t="s">
        <v>99</v>
      </c>
      <c r="CR33" s="1" t="s">
        <v>100</v>
      </c>
      <c r="CS33" s="1">
        <v>59.880669798819397</v>
      </c>
      <c r="CT33" s="1" t="s">
        <v>101</v>
      </c>
    </row>
    <row r="34" spans="2:98" x14ac:dyDescent="0.35">
      <c r="BB34" s="1">
        <v>50.523399500001602</v>
      </c>
      <c r="BC34" s="1">
        <v>50.539648200035998</v>
      </c>
      <c r="BD34" s="1">
        <v>50.539648200035998</v>
      </c>
      <c r="BE34" s="1">
        <v>54.1067313000094</v>
      </c>
      <c r="BF34" s="1" t="s">
        <v>102</v>
      </c>
      <c r="BG34" s="1">
        <v>3.5598721000132998</v>
      </c>
      <c r="BH34" s="1" t="s">
        <v>103</v>
      </c>
      <c r="CM34" s="1">
        <v>1</v>
      </c>
      <c r="CN34" s="1">
        <v>1</v>
      </c>
      <c r="CO34" s="1" t="s">
        <v>98</v>
      </c>
      <c r="CP34" s="1" t="s">
        <v>99</v>
      </c>
      <c r="CR34" s="1" t="s">
        <v>100</v>
      </c>
      <c r="CS34" s="1">
        <v>59.880669798819397</v>
      </c>
      <c r="CT34" s="1" t="s">
        <v>101</v>
      </c>
    </row>
    <row r="35" spans="2:98" x14ac:dyDescent="0.35">
      <c r="BI35" s="1">
        <v>54.106828999996601</v>
      </c>
      <c r="BJ35" s="1">
        <v>54.122999400016802</v>
      </c>
      <c r="BK35" s="1">
        <v>54.122999400016802</v>
      </c>
      <c r="BL35" s="1">
        <v>65.973296600044705</v>
      </c>
      <c r="BM35" s="1">
        <v>3</v>
      </c>
      <c r="BN35" s="1">
        <v>11.8441905999789</v>
      </c>
      <c r="BO35" s="1" t="s">
        <v>103</v>
      </c>
      <c r="CM35" s="1">
        <v>1</v>
      </c>
      <c r="CN35" s="1">
        <v>1</v>
      </c>
      <c r="CO35" s="1" t="s">
        <v>98</v>
      </c>
      <c r="CP35" s="1" t="s">
        <v>99</v>
      </c>
      <c r="CR35" s="1" t="s">
        <v>100</v>
      </c>
      <c r="CS35" s="1">
        <v>59.880669798819397</v>
      </c>
      <c r="CT35" s="1" t="s">
        <v>101</v>
      </c>
    </row>
    <row r="36" spans="2:98" x14ac:dyDescent="0.35">
      <c r="BP36" s="1">
        <v>65.973401000024694</v>
      </c>
      <c r="BQ36" s="1">
        <v>65.989720400015301</v>
      </c>
      <c r="BR36" s="1">
        <v>65.989720400015301</v>
      </c>
      <c r="BS36" s="1">
        <v>70.522530000016502</v>
      </c>
      <c r="BT36" s="1" t="s">
        <v>102</v>
      </c>
      <c r="BU36" s="1">
        <v>4.5226835999637798</v>
      </c>
      <c r="BV36" s="1" t="s">
        <v>103</v>
      </c>
      <c r="CM36" s="1">
        <v>1</v>
      </c>
      <c r="CN36" s="1">
        <v>1</v>
      </c>
      <c r="CO36" s="1" t="s">
        <v>98</v>
      </c>
      <c r="CP36" s="1" t="s">
        <v>99</v>
      </c>
      <c r="CR36" s="1" t="s">
        <v>100</v>
      </c>
      <c r="CS36" s="1">
        <v>59.880669798819397</v>
      </c>
      <c r="CT36" s="1" t="s">
        <v>101</v>
      </c>
    </row>
    <row r="37" spans="2:98" x14ac:dyDescent="0.35">
      <c r="B37" s="1">
        <v>0</v>
      </c>
      <c r="C37" s="1">
        <v>0</v>
      </c>
      <c r="D37" s="1">
        <v>0</v>
      </c>
      <c r="G37" s="1" t="s">
        <v>116</v>
      </c>
      <c r="H37" s="1" t="s">
        <v>134</v>
      </c>
      <c r="I37" s="1" t="s">
        <v>134</v>
      </c>
      <c r="J37" s="1">
        <v>1</v>
      </c>
      <c r="K37" s="1">
        <v>1.7487636000150799</v>
      </c>
      <c r="L37" s="1" t="s">
        <v>103</v>
      </c>
      <c r="Y37" s="1">
        <v>0</v>
      </c>
      <c r="Z37" s="1">
        <v>0</v>
      </c>
      <c r="AA37" s="1">
        <v>0</v>
      </c>
      <c r="AB37" s="1">
        <v>4</v>
      </c>
      <c r="AC37" s="1">
        <v>70.541102699993601</v>
      </c>
      <c r="AS37" s="1">
        <v>72.306488200032604</v>
      </c>
      <c r="AT37" s="1">
        <v>72.322159400035105</v>
      </c>
      <c r="AU37" s="1">
        <v>72.805710500047994</v>
      </c>
      <c r="BW37" s="1">
        <v>70.537792799994307</v>
      </c>
      <c r="BX37" s="1">
        <v>70.541102699993601</v>
      </c>
      <c r="BY37" s="1">
        <v>70.541102699993601</v>
      </c>
      <c r="BZ37" s="1">
        <v>72.306392500002403</v>
      </c>
      <c r="CA37" s="1" t="s">
        <v>134</v>
      </c>
      <c r="CB37" s="1">
        <v>1</v>
      </c>
      <c r="CC37" s="1">
        <v>1.7487636000150799</v>
      </c>
      <c r="CD37" s="1" t="s">
        <v>103</v>
      </c>
      <c r="CE37" s="1">
        <v>72.822131900000301</v>
      </c>
      <c r="CM37" s="1">
        <v>1</v>
      </c>
      <c r="CN37" s="1">
        <v>1</v>
      </c>
      <c r="CO37" s="1" t="s">
        <v>98</v>
      </c>
      <c r="CP37" s="1" t="s">
        <v>99</v>
      </c>
      <c r="CR37" s="1" t="s">
        <v>100</v>
      </c>
      <c r="CS37" s="1">
        <v>59.880669798819397</v>
      </c>
      <c r="CT37" s="1" t="s">
        <v>101</v>
      </c>
    </row>
    <row r="38" spans="2:98" x14ac:dyDescent="0.35">
      <c r="B38" s="1">
        <v>1</v>
      </c>
      <c r="C38" s="1">
        <v>1</v>
      </c>
      <c r="D38" s="1">
        <v>0</v>
      </c>
      <c r="G38" s="1" t="s">
        <v>130</v>
      </c>
      <c r="H38" s="1" t="s">
        <v>134</v>
      </c>
      <c r="I38" s="1" t="s">
        <v>134</v>
      </c>
      <c r="J38" s="1">
        <v>1</v>
      </c>
      <c r="K38" s="1">
        <v>0.71973429998615701</v>
      </c>
      <c r="L38" s="1" t="s">
        <v>103</v>
      </c>
      <c r="Y38" s="1">
        <v>0</v>
      </c>
      <c r="Z38" s="1">
        <v>1</v>
      </c>
      <c r="AA38" s="1">
        <v>1</v>
      </c>
      <c r="AB38" s="1">
        <v>6</v>
      </c>
      <c r="AC38" s="1">
        <v>72.822131900000301</v>
      </c>
      <c r="AS38" s="1">
        <v>73.555893300042896</v>
      </c>
      <c r="AT38" s="1">
        <v>73.572138100047596</v>
      </c>
      <c r="AU38" s="1">
        <v>74.055691400018901</v>
      </c>
      <c r="BW38" s="1">
        <v>72.809014500002306</v>
      </c>
      <c r="BX38" s="1">
        <v>72.822131900000301</v>
      </c>
      <c r="BY38" s="1">
        <v>72.822131900000301</v>
      </c>
      <c r="BZ38" s="1">
        <v>73.555812200007495</v>
      </c>
      <c r="CA38" s="1" t="s">
        <v>134</v>
      </c>
      <c r="CB38" s="1">
        <v>1</v>
      </c>
      <c r="CC38" s="1">
        <v>0.71973429998615701</v>
      </c>
      <c r="CD38" s="1" t="s">
        <v>103</v>
      </c>
      <c r="CE38" s="1">
        <v>74.072277300001502</v>
      </c>
      <c r="CM38" s="1">
        <v>1</v>
      </c>
      <c r="CN38" s="1">
        <v>1</v>
      </c>
      <c r="CO38" s="1" t="s">
        <v>98</v>
      </c>
      <c r="CP38" s="1" t="s">
        <v>99</v>
      </c>
      <c r="CR38" s="1" t="s">
        <v>100</v>
      </c>
      <c r="CS38" s="1">
        <v>59.880669798819397</v>
      </c>
      <c r="CT38" s="1" t="s">
        <v>101</v>
      </c>
    </row>
    <row r="39" spans="2:98" x14ac:dyDescent="0.35">
      <c r="B39" s="1">
        <v>2</v>
      </c>
      <c r="C39" s="1">
        <v>2</v>
      </c>
      <c r="D39" s="1">
        <v>0</v>
      </c>
      <c r="G39" s="1" t="s">
        <v>135</v>
      </c>
      <c r="H39" s="1" t="s">
        <v>136</v>
      </c>
      <c r="I39" s="1" t="s">
        <v>136</v>
      </c>
      <c r="J39" s="1">
        <v>1</v>
      </c>
      <c r="K39" s="1">
        <v>0.88611549994675398</v>
      </c>
      <c r="L39" s="1" t="s">
        <v>103</v>
      </c>
      <c r="Y39" s="1">
        <v>0</v>
      </c>
      <c r="Z39" s="1">
        <v>2</v>
      </c>
      <c r="AA39" s="1">
        <v>2</v>
      </c>
      <c r="AB39" s="1">
        <v>8</v>
      </c>
      <c r="AC39" s="1">
        <v>74.072277300001502</v>
      </c>
      <c r="AS39" s="1">
        <v>74.973590200010193</v>
      </c>
      <c r="AT39" s="1">
        <v>74.989060899999401</v>
      </c>
      <c r="AU39" s="1">
        <v>75.472869599994695</v>
      </c>
      <c r="BW39" s="1">
        <v>74.059462300036103</v>
      </c>
      <c r="BX39" s="1">
        <v>74.072277300001502</v>
      </c>
      <c r="BY39" s="1">
        <v>74.072277300001502</v>
      </c>
      <c r="BZ39" s="1">
        <v>74.973442200047401</v>
      </c>
      <c r="CA39" s="1" t="s">
        <v>136</v>
      </c>
      <c r="CB39" s="1">
        <v>1</v>
      </c>
      <c r="CC39" s="1">
        <v>0.88611549994675398</v>
      </c>
      <c r="CD39" s="1" t="s">
        <v>103</v>
      </c>
      <c r="CE39" s="1">
        <v>75.4892112000379</v>
      </c>
      <c r="CM39" s="1">
        <v>1</v>
      </c>
      <c r="CN39" s="1">
        <v>1</v>
      </c>
      <c r="CO39" s="1" t="s">
        <v>98</v>
      </c>
      <c r="CP39" s="1" t="s">
        <v>99</v>
      </c>
      <c r="CR39" s="1" t="s">
        <v>100</v>
      </c>
      <c r="CS39" s="1">
        <v>59.880669798819397</v>
      </c>
      <c r="CT39" s="1" t="s">
        <v>101</v>
      </c>
    </row>
    <row r="40" spans="2:98" x14ac:dyDescent="0.35">
      <c r="B40" s="1">
        <v>3</v>
      </c>
      <c r="C40" s="1">
        <v>3</v>
      </c>
      <c r="D40" s="1">
        <v>0</v>
      </c>
      <c r="G40" s="1" t="s">
        <v>137</v>
      </c>
      <c r="H40" s="1" t="s">
        <v>136</v>
      </c>
      <c r="I40" s="1" t="s">
        <v>136</v>
      </c>
      <c r="J40" s="1">
        <v>1</v>
      </c>
      <c r="K40" s="1">
        <v>0.86536510003497802</v>
      </c>
      <c r="L40" s="1" t="s">
        <v>103</v>
      </c>
      <c r="Y40" s="1">
        <v>0</v>
      </c>
      <c r="Z40" s="1">
        <v>3</v>
      </c>
      <c r="AA40" s="1">
        <v>3</v>
      </c>
      <c r="AB40" s="1">
        <v>7</v>
      </c>
      <c r="AC40" s="1">
        <v>75.4892112000379</v>
      </c>
      <c r="AS40" s="1">
        <v>76.356501300004297</v>
      </c>
      <c r="AT40" s="1">
        <v>76.372740200022207</v>
      </c>
      <c r="AU40" s="1">
        <v>76.856410400010603</v>
      </c>
      <c r="BW40" s="1">
        <v>75.4769954000366</v>
      </c>
      <c r="BX40" s="1">
        <v>75.4892112000379</v>
      </c>
      <c r="BY40" s="1">
        <v>75.4892112000379</v>
      </c>
      <c r="BZ40" s="1">
        <v>76.356386800005495</v>
      </c>
      <c r="CA40" s="1" t="s">
        <v>136</v>
      </c>
      <c r="CB40" s="1">
        <v>1</v>
      </c>
      <c r="CC40" s="1">
        <v>0.86536510003497802</v>
      </c>
      <c r="CD40" s="1" t="s">
        <v>103</v>
      </c>
      <c r="CE40" s="1">
        <v>76.872306000033802</v>
      </c>
      <c r="CM40" s="1">
        <v>1</v>
      </c>
      <c r="CN40" s="1">
        <v>1</v>
      </c>
      <c r="CO40" s="1" t="s">
        <v>98</v>
      </c>
      <c r="CP40" s="1" t="s">
        <v>99</v>
      </c>
      <c r="CR40" s="1" t="s">
        <v>100</v>
      </c>
      <c r="CS40" s="1">
        <v>59.880669798819397</v>
      </c>
      <c r="CT40" s="1" t="s">
        <v>101</v>
      </c>
    </row>
    <row r="41" spans="2:98" x14ac:dyDescent="0.35">
      <c r="B41" s="1">
        <v>4</v>
      </c>
      <c r="C41" s="1">
        <v>4</v>
      </c>
      <c r="D41" s="1">
        <v>0</v>
      </c>
      <c r="G41" s="1" t="s">
        <v>138</v>
      </c>
      <c r="H41" s="1" t="s">
        <v>136</v>
      </c>
      <c r="I41" s="1" t="s">
        <v>134</v>
      </c>
      <c r="J41" s="1">
        <v>0</v>
      </c>
      <c r="K41" s="1">
        <v>0.78469090000726205</v>
      </c>
      <c r="L41" s="1" t="s">
        <v>103</v>
      </c>
      <c r="Y41" s="1">
        <v>0</v>
      </c>
      <c r="Z41" s="1">
        <v>4</v>
      </c>
      <c r="AA41" s="1">
        <v>4</v>
      </c>
      <c r="AB41" s="1">
        <v>0</v>
      </c>
      <c r="AC41" s="1">
        <v>76.872306000033802</v>
      </c>
      <c r="AS41" s="1">
        <v>77.672506700037005</v>
      </c>
      <c r="AT41" s="1">
        <v>77.688682200037803</v>
      </c>
      <c r="AU41" s="1">
        <v>78.1722991000278</v>
      </c>
      <c r="BW41" s="1">
        <v>76.8596697000321</v>
      </c>
      <c r="BX41" s="1">
        <v>76.872306000033802</v>
      </c>
      <c r="BY41" s="1">
        <v>76.872306000033802</v>
      </c>
      <c r="BZ41" s="1">
        <v>77.672458300017695</v>
      </c>
      <c r="CA41" s="1" t="s">
        <v>134</v>
      </c>
      <c r="CB41" s="1">
        <v>0</v>
      </c>
      <c r="CC41" s="1">
        <v>0.78469090000726205</v>
      </c>
      <c r="CD41" s="1" t="s">
        <v>103</v>
      </c>
      <c r="CE41" s="1">
        <v>78.188589400029699</v>
      </c>
      <c r="CM41" s="1">
        <v>1</v>
      </c>
      <c r="CN41" s="1">
        <v>1</v>
      </c>
      <c r="CO41" s="1" t="s">
        <v>98</v>
      </c>
      <c r="CP41" s="1" t="s">
        <v>99</v>
      </c>
      <c r="CR41" s="1" t="s">
        <v>100</v>
      </c>
      <c r="CS41" s="1">
        <v>59.880669798819397</v>
      </c>
      <c r="CT41" s="1" t="s">
        <v>101</v>
      </c>
    </row>
    <row r="42" spans="2:98" x14ac:dyDescent="0.35">
      <c r="B42" s="1">
        <v>5</v>
      </c>
      <c r="C42" s="1">
        <v>5</v>
      </c>
      <c r="D42" s="1">
        <v>0</v>
      </c>
      <c r="G42" s="1" t="s">
        <v>129</v>
      </c>
      <c r="H42" s="1" t="s">
        <v>134</v>
      </c>
      <c r="I42" s="1" t="s">
        <v>134</v>
      </c>
      <c r="J42" s="1">
        <v>1</v>
      </c>
      <c r="K42" s="1">
        <v>0.68413329997565597</v>
      </c>
      <c r="L42" s="1" t="s">
        <v>103</v>
      </c>
      <c r="Y42" s="1">
        <v>0</v>
      </c>
      <c r="Z42" s="1">
        <v>5</v>
      </c>
      <c r="AA42" s="1">
        <v>5</v>
      </c>
      <c r="AB42" s="1">
        <v>5</v>
      </c>
      <c r="AC42" s="1">
        <v>78.188589400029699</v>
      </c>
      <c r="AS42" s="1">
        <v>78.889428300026296</v>
      </c>
      <c r="AT42" s="1">
        <v>78.905450700025497</v>
      </c>
      <c r="AU42" s="1">
        <v>79.389809300017006</v>
      </c>
      <c r="BW42" s="1">
        <v>78.174595199991003</v>
      </c>
      <c r="BX42" s="1">
        <v>78.188589400029699</v>
      </c>
      <c r="BY42" s="1">
        <v>78.188589400029699</v>
      </c>
      <c r="BZ42" s="1">
        <v>78.889323900046193</v>
      </c>
      <c r="CA42" s="1" t="s">
        <v>134</v>
      </c>
      <c r="CB42" s="1">
        <v>1</v>
      </c>
      <c r="CC42" s="1">
        <v>0.68413329997565597</v>
      </c>
      <c r="CD42" s="1" t="s">
        <v>103</v>
      </c>
      <c r="CM42" s="1">
        <v>1</v>
      </c>
      <c r="CN42" s="1">
        <v>1</v>
      </c>
      <c r="CO42" s="1" t="s">
        <v>98</v>
      </c>
      <c r="CP42" s="1" t="s">
        <v>99</v>
      </c>
      <c r="CR42" s="1" t="s">
        <v>100</v>
      </c>
      <c r="CS42" s="1">
        <v>59.880669798819397</v>
      </c>
      <c r="CT42" s="1" t="s">
        <v>101</v>
      </c>
    </row>
    <row r="43" spans="2:98" x14ac:dyDescent="0.35">
      <c r="B43" s="1">
        <v>6</v>
      </c>
      <c r="C43" s="1">
        <v>6</v>
      </c>
      <c r="D43" s="1">
        <v>0</v>
      </c>
      <c r="G43" s="1" t="s">
        <v>139</v>
      </c>
      <c r="H43" s="1" t="s">
        <v>136</v>
      </c>
      <c r="I43" s="1" t="s">
        <v>136</v>
      </c>
      <c r="J43" s="1">
        <v>1</v>
      </c>
      <c r="K43" s="1">
        <v>1.0339193000108899</v>
      </c>
      <c r="L43" s="1" t="s">
        <v>103</v>
      </c>
      <c r="Y43" s="1">
        <v>0</v>
      </c>
      <c r="Z43" s="1">
        <v>6</v>
      </c>
      <c r="AA43" s="1">
        <v>6</v>
      </c>
      <c r="AB43" s="1">
        <v>9</v>
      </c>
      <c r="AC43" s="1">
        <v>79.405805300048002</v>
      </c>
      <c r="AS43" s="1">
        <v>80.456288100045597</v>
      </c>
      <c r="AT43" s="1">
        <v>80.472446300031095</v>
      </c>
      <c r="AU43" s="1">
        <v>80.955725700012394</v>
      </c>
      <c r="BW43" s="1">
        <v>79.394514400046305</v>
      </c>
      <c r="BX43" s="1">
        <v>79.405805300048002</v>
      </c>
      <c r="BY43" s="1">
        <v>79.405805300048002</v>
      </c>
      <c r="BZ43" s="1">
        <v>80.456165000039604</v>
      </c>
      <c r="CA43" s="1" t="s">
        <v>136</v>
      </c>
      <c r="CB43" s="1">
        <v>1</v>
      </c>
      <c r="CC43" s="1">
        <v>1.0339193000108899</v>
      </c>
      <c r="CD43" s="1" t="s">
        <v>103</v>
      </c>
      <c r="CE43" s="1">
        <v>80.972092300013102</v>
      </c>
      <c r="CM43" s="1">
        <v>1</v>
      </c>
      <c r="CN43" s="1">
        <v>1</v>
      </c>
      <c r="CO43" s="1" t="s">
        <v>98</v>
      </c>
      <c r="CP43" s="1" t="s">
        <v>99</v>
      </c>
      <c r="CR43" s="1" t="s">
        <v>100</v>
      </c>
      <c r="CS43" s="1">
        <v>59.880669798819397</v>
      </c>
      <c r="CT43" s="1" t="s">
        <v>101</v>
      </c>
    </row>
    <row r="44" spans="2:98" x14ac:dyDescent="0.35">
      <c r="B44" s="1">
        <v>7</v>
      </c>
      <c r="C44" s="1">
        <v>7</v>
      </c>
      <c r="D44" s="1">
        <v>0</v>
      </c>
      <c r="G44" s="1" t="s">
        <v>140</v>
      </c>
      <c r="H44" s="1" t="s">
        <v>136</v>
      </c>
      <c r="I44" s="1" t="s">
        <v>134</v>
      </c>
      <c r="J44" s="1">
        <v>0</v>
      </c>
      <c r="K44" s="1">
        <v>0.72806310001760699</v>
      </c>
      <c r="L44" s="1" t="s">
        <v>103</v>
      </c>
      <c r="Y44" s="1">
        <v>0</v>
      </c>
      <c r="Z44" s="1">
        <v>7</v>
      </c>
      <c r="AA44" s="1">
        <v>7</v>
      </c>
      <c r="AB44" s="1">
        <v>2</v>
      </c>
      <c r="AC44" s="1">
        <v>80.972092300013102</v>
      </c>
      <c r="AS44" s="1">
        <v>81.705574600025997</v>
      </c>
      <c r="AT44" s="1">
        <v>81.721842000028104</v>
      </c>
      <c r="AU44" s="1">
        <v>82.2054891000152</v>
      </c>
      <c r="BW44" s="1">
        <v>80.959861600014804</v>
      </c>
      <c r="BX44" s="1">
        <v>80.972092300013102</v>
      </c>
      <c r="BY44" s="1">
        <v>80.972092300013102</v>
      </c>
      <c r="BZ44" s="1">
        <v>81.705533600004799</v>
      </c>
      <c r="CA44" s="1" t="s">
        <v>134</v>
      </c>
      <c r="CB44" s="1">
        <v>0</v>
      </c>
      <c r="CC44" s="1">
        <v>0.72806310001760699</v>
      </c>
      <c r="CD44" s="1" t="s">
        <v>103</v>
      </c>
      <c r="CE44" s="1">
        <v>82.222065200039594</v>
      </c>
      <c r="CM44" s="1">
        <v>1</v>
      </c>
      <c r="CN44" s="1">
        <v>1</v>
      </c>
      <c r="CO44" s="1" t="s">
        <v>98</v>
      </c>
      <c r="CP44" s="1" t="s">
        <v>99</v>
      </c>
      <c r="CR44" s="1" t="s">
        <v>100</v>
      </c>
      <c r="CS44" s="1">
        <v>59.880669798819397</v>
      </c>
      <c r="CT44" s="1" t="s">
        <v>101</v>
      </c>
    </row>
    <row r="45" spans="2:98" x14ac:dyDescent="0.35">
      <c r="B45" s="1">
        <v>8</v>
      </c>
      <c r="C45" s="1">
        <v>8</v>
      </c>
      <c r="D45" s="1">
        <v>0</v>
      </c>
      <c r="G45" s="1" t="s">
        <v>106</v>
      </c>
      <c r="H45" s="1" t="s">
        <v>134</v>
      </c>
      <c r="I45" s="1" t="s">
        <v>134</v>
      </c>
      <c r="J45" s="1">
        <v>1</v>
      </c>
      <c r="K45" s="1">
        <v>0.70710820000385799</v>
      </c>
      <c r="L45" s="1" t="s">
        <v>103</v>
      </c>
      <c r="Y45" s="1">
        <v>0</v>
      </c>
      <c r="Z45" s="1">
        <v>8</v>
      </c>
      <c r="AA45" s="1">
        <v>8</v>
      </c>
      <c r="AB45" s="1">
        <v>3</v>
      </c>
      <c r="AC45" s="1">
        <v>82.222065200039594</v>
      </c>
      <c r="AS45" s="1">
        <v>82.940223400015299</v>
      </c>
      <c r="AT45" s="1">
        <v>82.955851600039693</v>
      </c>
      <c r="AU45" s="1">
        <v>83.439007700013406</v>
      </c>
      <c r="BW45" s="1">
        <v>82.209636799991102</v>
      </c>
      <c r="BX45" s="1">
        <v>82.222065200039594</v>
      </c>
      <c r="BY45" s="1">
        <v>82.222065200039594</v>
      </c>
      <c r="BZ45" s="1">
        <v>82.940077700011898</v>
      </c>
      <c r="CA45" s="1" t="s">
        <v>134</v>
      </c>
      <c r="CB45" s="1">
        <v>1</v>
      </c>
      <c r="CC45" s="1">
        <v>0.70710820000385799</v>
      </c>
      <c r="CD45" s="1" t="s">
        <v>103</v>
      </c>
      <c r="CE45" s="1">
        <v>83.455492400040299</v>
      </c>
      <c r="CM45" s="1">
        <v>1</v>
      </c>
      <c r="CN45" s="1">
        <v>1</v>
      </c>
      <c r="CO45" s="1" t="s">
        <v>98</v>
      </c>
      <c r="CP45" s="1" t="s">
        <v>99</v>
      </c>
      <c r="CR45" s="1" t="s">
        <v>100</v>
      </c>
      <c r="CS45" s="1">
        <v>59.880669798819397</v>
      </c>
      <c r="CT45" s="1" t="s">
        <v>101</v>
      </c>
    </row>
    <row r="46" spans="2:98" x14ac:dyDescent="0.35">
      <c r="B46" s="1">
        <v>9</v>
      </c>
      <c r="C46" s="1">
        <v>9</v>
      </c>
      <c r="D46" s="1">
        <v>0</v>
      </c>
      <c r="G46" s="1" t="s">
        <v>141</v>
      </c>
      <c r="H46" s="1" t="s">
        <v>136</v>
      </c>
      <c r="I46" s="1" t="s">
        <v>134</v>
      </c>
      <c r="J46" s="1">
        <v>0</v>
      </c>
      <c r="K46" s="1">
        <v>1.72094920004019</v>
      </c>
      <c r="L46" s="1" t="s">
        <v>103</v>
      </c>
      <c r="Y46" s="1">
        <v>0</v>
      </c>
      <c r="Z46" s="1">
        <v>9</v>
      </c>
      <c r="AA46" s="1">
        <v>9</v>
      </c>
      <c r="AB46" s="1">
        <v>1</v>
      </c>
      <c r="AC46" s="1">
        <v>83.455492400040299</v>
      </c>
      <c r="AS46" s="1">
        <v>85.189446600037599</v>
      </c>
      <c r="AT46" s="1">
        <v>85.205469500040607</v>
      </c>
      <c r="AU46" s="1">
        <v>85.688762800011304</v>
      </c>
      <c r="BW46" s="1">
        <v>83.440908499993299</v>
      </c>
      <c r="BX46" s="1">
        <v>83.455492400040299</v>
      </c>
      <c r="BY46" s="1">
        <v>83.455492400040299</v>
      </c>
      <c r="BZ46" s="1">
        <v>85.189337800024006</v>
      </c>
      <c r="CA46" s="1" t="s">
        <v>134</v>
      </c>
      <c r="CB46" s="1">
        <v>0</v>
      </c>
      <c r="CC46" s="1">
        <v>1.72094920004019</v>
      </c>
      <c r="CD46" s="1" t="s">
        <v>103</v>
      </c>
      <c r="CE46" s="1">
        <v>85.705579300003507</v>
      </c>
      <c r="CM46" s="1">
        <v>1</v>
      </c>
      <c r="CN46" s="1">
        <v>1</v>
      </c>
      <c r="CO46" s="1" t="s">
        <v>98</v>
      </c>
      <c r="CP46" s="1" t="s">
        <v>99</v>
      </c>
      <c r="CR46" s="1" t="s">
        <v>100</v>
      </c>
      <c r="CS46" s="1">
        <v>59.880669798819397</v>
      </c>
      <c r="CT46" s="1" t="s">
        <v>101</v>
      </c>
    </row>
    <row r="47" spans="2:98" x14ac:dyDescent="0.35">
      <c r="CF47" s="1">
        <v>85.688837699999496</v>
      </c>
      <c r="CG47" s="1">
        <v>85.705579300003507</v>
      </c>
      <c r="CH47" s="1">
        <v>85.705579300003507</v>
      </c>
      <c r="CI47" s="1">
        <v>86.706147500022695</v>
      </c>
      <c r="CJ47" s="1" t="s">
        <v>102</v>
      </c>
      <c r="CK47" s="1">
        <v>0.99901419994421303</v>
      </c>
      <c r="CL47" s="1" t="s">
        <v>103</v>
      </c>
      <c r="CM47" s="1">
        <v>1</v>
      </c>
      <c r="CN47" s="1">
        <v>1</v>
      </c>
      <c r="CO47" s="1" t="s">
        <v>98</v>
      </c>
      <c r="CP47" s="1" t="s">
        <v>99</v>
      </c>
      <c r="CR47" s="1" t="s">
        <v>100</v>
      </c>
      <c r="CS47" s="1">
        <v>59.880669798819397</v>
      </c>
      <c r="CT47" s="1" t="s">
        <v>101</v>
      </c>
    </row>
    <row r="49" spans="10:11" x14ac:dyDescent="0.35">
      <c r="J49" s="2">
        <f>AVERAGE(J37:J46)</f>
        <v>0.7</v>
      </c>
      <c r="K49" s="2">
        <f>AVERAGE(K37:K46)</f>
        <v>0.98788425000384328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FD041B-B507-45FF-8AAE-7099661F046B}">
  <dimension ref="A1:CT49"/>
  <sheetViews>
    <sheetView topLeftCell="A36" workbookViewId="0">
      <selection activeCell="I45" sqref="I45"/>
    </sheetView>
  </sheetViews>
  <sheetFormatPr defaultRowHeight="14.5" x14ac:dyDescent="0.35"/>
  <cols>
    <col min="1" max="16384" width="8.7265625" style="1"/>
  </cols>
  <sheetData>
    <row r="1" spans="1:9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</row>
    <row r="2" spans="1:98" x14ac:dyDescent="0.35">
      <c r="AE2" s="1">
        <v>1.6892000000000001E-3</v>
      </c>
      <c r="AF2" s="1">
        <v>4.4437000000000001E-3</v>
      </c>
      <c r="AG2" s="1">
        <v>3.0091058999999998</v>
      </c>
      <c r="AH2" s="1">
        <v>2.9925834</v>
      </c>
      <c r="CM2" s="1">
        <v>2</v>
      </c>
      <c r="CN2" s="1">
        <v>1</v>
      </c>
      <c r="CO2" s="1" t="s">
        <v>142</v>
      </c>
      <c r="CP2" s="1" t="s">
        <v>99</v>
      </c>
      <c r="CR2" s="1" t="s">
        <v>100</v>
      </c>
      <c r="CS2" s="1">
        <v>59.974582769999998</v>
      </c>
      <c r="CT2" s="1" t="s">
        <v>143</v>
      </c>
    </row>
    <row r="3" spans="1:98" x14ac:dyDescent="0.35">
      <c r="AI3" s="1">
        <v>2.9926501999999999</v>
      </c>
      <c r="AJ3" s="1">
        <v>3.0091058999999998</v>
      </c>
      <c r="AK3" s="1">
        <v>3.0091058999999998</v>
      </c>
      <c r="AL3" s="1">
        <v>7.3853017000000003</v>
      </c>
      <c r="AM3" s="1" t="s">
        <v>102</v>
      </c>
      <c r="AN3" s="1">
        <v>4.3618630999999999</v>
      </c>
      <c r="AO3" s="1" t="s">
        <v>103</v>
      </c>
      <c r="CM3" s="1">
        <v>2</v>
      </c>
      <c r="CN3" s="1">
        <v>1</v>
      </c>
      <c r="CO3" s="1" t="s">
        <v>142</v>
      </c>
      <c r="CP3" s="1" t="s">
        <v>99</v>
      </c>
      <c r="CR3" s="1" t="s">
        <v>100</v>
      </c>
      <c r="CS3" s="1">
        <v>59.974582769999998</v>
      </c>
      <c r="CT3" s="1" t="s">
        <v>143</v>
      </c>
    </row>
    <row r="4" spans="1:98" x14ac:dyDescent="0.35">
      <c r="A4" s="1" t="s">
        <v>110</v>
      </c>
      <c r="B4" s="1">
        <v>0</v>
      </c>
      <c r="C4" s="1">
        <v>0</v>
      </c>
      <c r="D4" s="1">
        <v>0</v>
      </c>
      <c r="M4" s="1">
        <v>0</v>
      </c>
      <c r="N4" s="1">
        <v>0</v>
      </c>
      <c r="O4" s="1">
        <v>0</v>
      </c>
      <c r="P4" s="1">
        <v>7</v>
      </c>
      <c r="AC4" s="1">
        <v>7.3943931000000003</v>
      </c>
      <c r="AP4" s="1">
        <v>7.3919369000000001</v>
      </c>
      <c r="AQ4" s="1">
        <v>7.3943931000000003</v>
      </c>
      <c r="AR4" s="1">
        <v>8.3921825999999999</v>
      </c>
      <c r="AS4" s="1">
        <v>8.3922197999999995</v>
      </c>
      <c r="AT4" s="1">
        <v>8.4086865</v>
      </c>
      <c r="AU4" s="1">
        <v>8.8923822000000001</v>
      </c>
      <c r="CM4" s="1">
        <v>2</v>
      </c>
      <c r="CN4" s="1">
        <v>1</v>
      </c>
      <c r="CO4" s="1" t="s">
        <v>142</v>
      </c>
      <c r="CP4" s="1" t="s">
        <v>99</v>
      </c>
      <c r="CR4" s="1" t="s">
        <v>100</v>
      </c>
      <c r="CS4" s="1">
        <v>59.974582769999998</v>
      </c>
      <c r="CT4" s="1" t="s">
        <v>143</v>
      </c>
    </row>
    <row r="5" spans="1:98" x14ac:dyDescent="0.35">
      <c r="A5" s="1" t="s">
        <v>104</v>
      </c>
      <c r="B5" s="1">
        <v>1</v>
      </c>
      <c r="C5" s="1">
        <v>1</v>
      </c>
      <c r="D5" s="1">
        <v>0</v>
      </c>
      <c r="M5" s="1">
        <v>0</v>
      </c>
      <c r="N5" s="1">
        <v>1</v>
      </c>
      <c r="O5" s="1">
        <v>1</v>
      </c>
      <c r="P5" s="1">
        <v>2</v>
      </c>
      <c r="AC5" s="1">
        <v>8.9088645</v>
      </c>
      <c r="AP5" s="1">
        <v>8.8955459000000001</v>
      </c>
      <c r="AQ5" s="1">
        <v>8.9088645</v>
      </c>
      <c r="AR5" s="1">
        <v>9.8922059000000004</v>
      </c>
      <c r="AS5" s="1">
        <v>9.8922418000000008</v>
      </c>
      <c r="AT5" s="1">
        <v>9.9088589999999996</v>
      </c>
      <c r="AU5" s="1">
        <v>10.392133899999999</v>
      </c>
      <c r="CM5" s="1">
        <v>2</v>
      </c>
      <c r="CN5" s="1">
        <v>1</v>
      </c>
      <c r="CO5" s="1" t="s">
        <v>142</v>
      </c>
      <c r="CP5" s="1" t="s">
        <v>99</v>
      </c>
      <c r="CR5" s="1" t="s">
        <v>100</v>
      </c>
      <c r="CS5" s="1">
        <v>59.974582769999998</v>
      </c>
      <c r="CT5" s="1" t="s">
        <v>143</v>
      </c>
    </row>
    <row r="6" spans="1:98" x14ac:dyDescent="0.35">
      <c r="A6" s="1" t="s">
        <v>109</v>
      </c>
      <c r="B6" s="1">
        <v>2</v>
      </c>
      <c r="C6" s="1">
        <v>2</v>
      </c>
      <c r="D6" s="1">
        <v>0</v>
      </c>
      <c r="M6" s="1">
        <v>0</v>
      </c>
      <c r="N6" s="1">
        <v>2</v>
      </c>
      <c r="O6" s="1">
        <v>2</v>
      </c>
      <c r="P6" s="1">
        <v>8</v>
      </c>
      <c r="AC6" s="1">
        <v>10.408811099999999</v>
      </c>
      <c r="AP6" s="1">
        <v>10.394634999999999</v>
      </c>
      <c r="AQ6" s="1">
        <v>10.408811099999999</v>
      </c>
      <c r="AR6" s="1">
        <v>11.3921738</v>
      </c>
      <c r="AS6" s="1">
        <v>11.3922051</v>
      </c>
      <c r="AT6" s="1">
        <v>11.4087543</v>
      </c>
      <c r="AU6" s="1">
        <v>11.892037500000001</v>
      </c>
      <c r="CM6" s="1">
        <v>2</v>
      </c>
      <c r="CN6" s="1">
        <v>1</v>
      </c>
      <c r="CO6" s="1" t="s">
        <v>142</v>
      </c>
      <c r="CP6" s="1" t="s">
        <v>99</v>
      </c>
      <c r="CR6" s="1" t="s">
        <v>100</v>
      </c>
      <c r="CS6" s="1">
        <v>59.974582769999998</v>
      </c>
      <c r="CT6" s="1" t="s">
        <v>143</v>
      </c>
    </row>
    <row r="7" spans="1:98" x14ac:dyDescent="0.35">
      <c r="A7" s="1" t="s">
        <v>113</v>
      </c>
      <c r="B7" s="1">
        <v>3</v>
      </c>
      <c r="C7" s="1">
        <v>3</v>
      </c>
      <c r="D7" s="1">
        <v>0</v>
      </c>
      <c r="M7" s="1">
        <v>0</v>
      </c>
      <c r="N7" s="1">
        <v>3</v>
      </c>
      <c r="O7" s="1">
        <v>3</v>
      </c>
      <c r="P7" s="1">
        <v>5</v>
      </c>
      <c r="AC7" s="1">
        <v>11.908825</v>
      </c>
      <c r="AP7" s="1">
        <v>11.8948827</v>
      </c>
      <c r="AQ7" s="1">
        <v>11.908825</v>
      </c>
      <c r="AR7" s="1">
        <v>12.8924699</v>
      </c>
      <c r="AS7" s="1">
        <v>12.892514</v>
      </c>
      <c r="AT7" s="1">
        <v>12.908683099999999</v>
      </c>
      <c r="AU7" s="1">
        <v>13.392133299999999</v>
      </c>
      <c r="CM7" s="1">
        <v>2</v>
      </c>
      <c r="CN7" s="1">
        <v>1</v>
      </c>
      <c r="CO7" s="1" t="s">
        <v>142</v>
      </c>
      <c r="CP7" s="1" t="s">
        <v>99</v>
      </c>
      <c r="CR7" s="1" t="s">
        <v>100</v>
      </c>
      <c r="CS7" s="1">
        <v>59.974582769999998</v>
      </c>
      <c r="CT7" s="1" t="s">
        <v>143</v>
      </c>
    </row>
    <row r="8" spans="1:98" x14ac:dyDescent="0.35">
      <c r="A8" s="1" t="s">
        <v>111</v>
      </c>
      <c r="B8" s="1">
        <v>4</v>
      </c>
      <c r="C8" s="1">
        <v>4</v>
      </c>
      <c r="D8" s="1">
        <v>0</v>
      </c>
      <c r="M8" s="1">
        <v>0</v>
      </c>
      <c r="N8" s="1">
        <v>4</v>
      </c>
      <c r="O8" s="1">
        <v>4</v>
      </c>
      <c r="P8" s="1">
        <v>3</v>
      </c>
      <c r="AC8" s="1">
        <v>13.408666200000001</v>
      </c>
      <c r="AP8" s="1">
        <v>13.394720100000001</v>
      </c>
      <c r="AQ8" s="1">
        <v>13.408666200000001</v>
      </c>
      <c r="AR8" s="1">
        <v>14.392242</v>
      </c>
      <c r="AS8" s="1">
        <v>14.392279800000001</v>
      </c>
      <c r="AT8" s="1">
        <v>14.408614399999999</v>
      </c>
      <c r="AU8" s="1">
        <v>14.8921282</v>
      </c>
      <c r="CM8" s="1">
        <v>2</v>
      </c>
      <c r="CN8" s="1">
        <v>1</v>
      </c>
      <c r="CO8" s="1" t="s">
        <v>142</v>
      </c>
      <c r="CP8" s="1" t="s">
        <v>99</v>
      </c>
      <c r="CR8" s="1" t="s">
        <v>100</v>
      </c>
      <c r="CS8" s="1">
        <v>59.974582769999998</v>
      </c>
      <c r="CT8" s="1" t="s">
        <v>143</v>
      </c>
    </row>
    <row r="9" spans="1:98" x14ac:dyDescent="0.35">
      <c r="A9" s="1" t="s">
        <v>112</v>
      </c>
      <c r="B9" s="1">
        <v>5</v>
      </c>
      <c r="C9" s="1">
        <v>5</v>
      </c>
      <c r="D9" s="1">
        <v>0</v>
      </c>
      <c r="M9" s="1">
        <v>0</v>
      </c>
      <c r="N9" s="1">
        <v>5</v>
      </c>
      <c r="O9" s="1">
        <v>5</v>
      </c>
      <c r="P9" s="1">
        <v>6</v>
      </c>
      <c r="AC9" s="1">
        <v>14.908792</v>
      </c>
      <c r="AP9" s="1">
        <v>14.8947515</v>
      </c>
      <c r="AQ9" s="1">
        <v>14.908792</v>
      </c>
      <c r="AR9" s="1">
        <v>15.8919897</v>
      </c>
      <c r="AS9" s="1">
        <v>15.8920239</v>
      </c>
      <c r="AT9" s="1">
        <v>15.9086237</v>
      </c>
      <c r="AU9" s="1">
        <v>16.392298799999999</v>
      </c>
      <c r="CM9" s="1">
        <v>2</v>
      </c>
      <c r="CN9" s="1">
        <v>1</v>
      </c>
      <c r="CO9" s="1" t="s">
        <v>142</v>
      </c>
      <c r="CP9" s="1" t="s">
        <v>99</v>
      </c>
      <c r="CR9" s="1" t="s">
        <v>100</v>
      </c>
      <c r="CS9" s="1">
        <v>59.974582769999998</v>
      </c>
      <c r="CT9" s="1" t="s">
        <v>143</v>
      </c>
    </row>
    <row r="10" spans="1:98" x14ac:dyDescent="0.35">
      <c r="A10" s="1" t="s">
        <v>106</v>
      </c>
      <c r="B10" s="1">
        <v>6</v>
      </c>
      <c r="C10" s="1">
        <v>6</v>
      </c>
      <c r="D10" s="1">
        <v>0</v>
      </c>
      <c r="M10" s="1">
        <v>0</v>
      </c>
      <c r="N10" s="1">
        <v>6</v>
      </c>
      <c r="O10" s="1">
        <v>6</v>
      </c>
      <c r="P10" s="1">
        <v>0</v>
      </c>
      <c r="AC10" s="1">
        <v>16.408670900000001</v>
      </c>
      <c r="AP10" s="1">
        <v>16.394518099999999</v>
      </c>
      <c r="AQ10" s="1">
        <v>16.408670900000001</v>
      </c>
      <c r="AR10" s="1">
        <v>17.392229799999999</v>
      </c>
      <c r="AS10" s="1">
        <v>17.392277499999999</v>
      </c>
      <c r="AT10" s="1">
        <v>17.408667999999999</v>
      </c>
      <c r="AU10" s="1">
        <v>17.8921791</v>
      </c>
      <c r="CM10" s="1">
        <v>2</v>
      </c>
      <c r="CN10" s="1">
        <v>1</v>
      </c>
      <c r="CO10" s="1" t="s">
        <v>142</v>
      </c>
      <c r="CP10" s="1" t="s">
        <v>99</v>
      </c>
      <c r="CR10" s="1" t="s">
        <v>100</v>
      </c>
      <c r="CS10" s="1">
        <v>59.974582769999998</v>
      </c>
      <c r="CT10" s="1" t="s">
        <v>143</v>
      </c>
    </row>
    <row r="11" spans="1:98" x14ac:dyDescent="0.35">
      <c r="A11" s="1" t="s">
        <v>107</v>
      </c>
      <c r="B11" s="1">
        <v>7</v>
      </c>
      <c r="C11" s="1">
        <v>7</v>
      </c>
      <c r="D11" s="1">
        <v>0</v>
      </c>
      <c r="M11" s="1">
        <v>0</v>
      </c>
      <c r="N11" s="1">
        <v>7</v>
      </c>
      <c r="O11" s="1">
        <v>7</v>
      </c>
      <c r="P11" s="1">
        <v>9</v>
      </c>
      <c r="AC11" s="1">
        <v>17.908716999999999</v>
      </c>
      <c r="AP11" s="1">
        <v>17.894833500000001</v>
      </c>
      <c r="AQ11" s="1">
        <v>17.908716999999999</v>
      </c>
      <c r="AR11" s="1">
        <v>18.892170700000001</v>
      </c>
      <c r="AS11" s="1">
        <v>18.892201199999999</v>
      </c>
      <c r="AT11" s="1">
        <v>18.908632000000001</v>
      </c>
      <c r="AU11" s="1">
        <v>19.391991900000001</v>
      </c>
      <c r="CM11" s="1">
        <v>2</v>
      </c>
      <c r="CN11" s="1">
        <v>1</v>
      </c>
      <c r="CO11" s="1" t="s">
        <v>142</v>
      </c>
      <c r="CP11" s="1" t="s">
        <v>99</v>
      </c>
      <c r="CR11" s="1" t="s">
        <v>100</v>
      </c>
      <c r="CS11" s="1">
        <v>59.974582769999998</v>
      </c>
      <c r="CT11" s="1" t="s">
        <v>143</v>
      </c>
    </row>
    <row r="12" spans="1:98" x14ac:dyDescent="0.35">
      <c r="A12" s="1" t="s">
        <v>108</v>
      </c>
      <c r="B12" s="1">
        <v>8</v>
      </c>
      <c r="C12" s="1">
        <v>8</v>
      </c>
      <c r="D12" s="1">
        <v>0</v>
      </c>
      <c r="M12" s="1">
        <v>0</v>
      </c>
      <c r="N12" s="1">
        <v>8</v>
      </c>
      <c r="O12" s="1">
        <v>8</v>
      </c>
      <c r="P12" s="1">
        <v>4</v>
      </c>
      <c r="AC12" s="1">
        <v>19.408717299999999</v>
      </c>
      <c r="AP12" s="1">
        <v>19.394417099999998</v>
      </c>
      <c r="AQ12" s="1">
        <v>19.408717299999999</v>
      </c>
      <c r="AR12" s="1">
        <v>20.392073799999999</v>
      </c>
      <c r="AS12" s="1">
        <v>20.392116300000001</v>
      </c>
      <c r="AT12" s="1">
        <v>20.408568299999999</v>
      </c>
      <c r="AU12" s="1">
        <v>20.891969100000001</v>
      </c>
      <c r="CM12" s="1">
        <v>2</v>
      </c>
      <c r="CN12" s="1">
        <v>1</v>
      </c>
      <c r="CO12" s="1" t="s">
        <v>142</v>
      </c>
      <c r="CP12" s="1" t="s">
        <v>99</v>
      </c>
      <c r="CR12" s="1" t="s">
        <v>100</v>
      </c>
      <c r="CS12" s="1">
        <v>59.974582769999998</v>
      </c>
      <c r="CT12" s="1" t="s">
        <v>143</v>
      </c>
    </row>
    <row r="13" spans="1:98" x14ac:dyDescent="0.35">
      <c r="A13" s="1" t="s">
        <v>105</v>
      </c>
      <c r="B13" s="1">
        <v>9</v>
      </c>
      <c r="C13" s="1">
        <v>9</v>
      </c>
      <c r="D13" s="1">
        <v>0</v>
      </c>
      <c r="M13" s="1">
        <v>0</v>
      </c>
      <c r="N13" s="1">
        <v>9</v>
      </c>
      <c r="O13" s="1">
        <v>9</v>
      </c>
      <c r="P13" s="1">
        <v>1</v>
      </c>
      <c r="AC13" s="1">
        <v>20.9085815</v>
      </c>
      <c r="AP13" s="1">
        <v>20.894670300000001</v>
      </c>
      <c r="AQ13" s="1">
        <v>20.9085815</v>
      </c>
      <c r="AR13" s="1">
        <v>21.892160100000002</v>
      </c>
      <c r="AS13" s="1">
        <v>21.892212199999999</v>
      </c>
      <c r="AT13" s="1">
        <v>21.908640999999999</v>
      </c>
      <c r="AU13" s="1">
        <v>22.392770500000001</v>
      </c>
      <c r="CM13" s="1">
        <v>2</v>
      </c>
      <c r="CN13" s="1">
        <v>1</v>
      </c>
      <c r="CO13" s="1" t="s">
        <v>142</v>
      </c>
      <c r="CP13" s="1" t="s">
        <v>99</v>
      </c>
      <c r="CR13" s="1" t="s">
        <v>100</v>
      </c>
      <c r="CS13" s="1">
        <v>59.974582769999998</v>
      </c>
      <c r="CT13" s="1" t="s">
        <v>143</v>
      </c>
    </row>
    <row r="14" spans="1:98" x14ac:dyDescent="0.35">
      <c r="B14" s="1">
        <v>0</v>
      </c>
      <c r="C14" s="1">
        <v>0</v>
      </c>
      <c r="D14" s="1">
        <v>0</v>
      </c>
      <c r="E14" s="1" t="s">
        <v>118</v>
      </c>
      <c r="Q14" s="1">
        <v>0</v>
      </c>
      <c r="R14" s="1">
        <v>0</v>
      </c>
      <c r="S14" s="1">
        <v>0</v>
      </c>
      <c r="T14" s="1">
        <v>6</v>
      </c>
      <c r="AC14" s="1">
        <v>22.408915400000001</v>
      </c>
      <c r="AS14" s="1">
        <v>23.3920219</v>
      </c>
      <c r="AT14" s="1">
        <v>23.409661700000001</v>
      </c>
      <c r="AU14" s="1">
        <v>23.891992900000002</v>
      </c>
      <c r="AV14" s="1">
        <v>22.4001071</v>
      </c>
      <c r="AW14" s="1">
        <v>22.408915400000001</v>
      </c>
      <c r="AX14" s="1">
        <v>23.391993599999999</v>
      </c>
      <c r="CM14" s="1">
        <v>2</v>
      </c>
      <c r="CN14" s="1">
        <v>1</v>
      </c>
      <c r="CO14" s="1" t="s">
        <v>142</v>
      </c>
      <c r="CP14" s="1" t="s">
        <v>99</v>
      </c>
      <c r="CR14" s="1" t="s">
        <v>100</v>
      </c>
      <c r="CS14" s="1">
        <v>59.974582769999998</v>
      </c>
      <c r="CT14" s="1" t="s">
        <v>143</v>
      </c>
    </row>
    <row r="15" spans="1:98" x14ac:dyDescent="0.35">
      <c r="B15" s="1">
        <v>1</v>
      </c>
      <c r="C15" s="1">
        <v>1</v>
      </c>
      <c r="D15" s="1">
        <v>0</v>
      </c>
      <c r="E15" s="1" t="s">
        <v>117</v>
      </c>
      <c r="Q15" s="1">
        <v>0</v>
      </c>
      <c r="R15" s="1">
        <v>1</v>
      </c>
      <c r="S15" s="1">
        <v>1</v>
      </c>
      <c r="T15" s="1">
        <v>1</v>
      </c>
      <c r="AC15" s="1">
        <v>23.908419599999998</v>
      </c>
      <c r="AS15" s="1">
        <v>24.892297599999999</v>
      </c>
      <c r="AT15" s="1">
        <v>24.908647800000001</v>
      </c>
      <c r="AU15" s="1">
        <v>25.392433499999999</v>
      </c>
      <c r="AV15" s="1">
        <v>23.895139400000001</v>
      </c>
      <c r="AW15" s="1">
        <v>23.908419599999998</v>
      </c>
      <c r="AX15" s="1">
        <v>24.892238599999999</v>
      </c>
      <c r="CM15" s="1">
        <v>2</v>
      </c>
      <c r="CN15" s="1">
        <v>1</v>
      </c>
      <c r="CO15" s="1" t="s">
        <v>142</v>
      </c>
      <c r="CP15" s="1" t="s">
        <v>99</v>
      </c>
      <c r="CR15" s="1" t="s">
        <v>100</v>
      </c>
      <c r="CS15" s="1">
        <v>59.974582769999998</v>
      </c>
      <c r="CT15" s="1" t="s">
        <v>143</v>
      </c>
    </row>
    <row r="16" spans="1:98" x14ac:dyDescent="0.35">
      <c r="B16" s="1">
        <v>2</v>
      </c>
      <c r="C16" s="1">
        <v>2</v>
      </c>
      <c r="D16" s="1">
        <v>0</v>
      </c>
      <c r="E16" s="1" t="s">
        <v>122</v>
      </c>
      <c r="Q16" s="1">
        <v>0</v>
      </c>
      <c r="R16" s="1">
        <v>2</v>
      </c>
      <c r="S16" s="1">
        <v>2</v>
      </c>
      <c r="T16" s="1">
        <v>8</v>
      </c>
      <c r="AC16" s="1">
        <v>25.408747900000002</v>
      </c>
      <c r="AS16" s="1">
        <v>26.392159400000001</v>
      </c>
      <c r="AT16" s="1">
        <v>26.408599899999999</v>
      </c>
      <c r="AU16" s="1">
        <v>26.8918949</v>
      </c>
      <c r="AV16" s="1">
        <v>25.396871900000001</v>
      </c>
      <c r="AW16" s="1">
        <v>25.408747900000002</v>
      </c>
      <c r="AX16" s="1">
        <v>26.3921159</v>
      </c>
      <c r="CM16" s="1">
        <v>2</v>
      </c>
      <c r="CN16" s="1">
        <v>1</v>
      </c>
      <c r="CO16" s="1" t="s">
        <v>142</v>
      </c>
      <c r="CP16" s="1" t="s">
        <v>99</v>
      </c>
      <c r="CR16" s="1" t="s">
        <v>100</v>
      </c>
      <c r="CS16" s="1">
        <v>59.974582769999998</v>
      </c>
      <c r="CT16" s="1" t="s">
        <v>143</v>
      </c>
    </row>
    <row r="17" spans="2:98" x14ac:dyDescent="0.35">
      <c r="B17" s="1">
        <v>3</v>
      </c>
      <c r="C17" s="1">
        <v>3</v>
      </c>
      <c r="D17" s="1">
        <v>0</v>
      </c>
      <c r="E17" s="1" t="s">
        <v>116</v>
      </c>
      <c r="Q17" s="1">
        <v>0</v>
      </c>
      <c r="R17" s="1">
        <v>3</v>
      </c>
      <c r="S17" s="1">
        <v>3</v>
      </c>
      <c r="T17" s="1">
        <v>0</v>
      </c>
      <c r="AC17" s="1">
        <v>26.9085532</v>
      </c>
      <c r="AS17" s="1">
        <v>27.892058899999999</v>
      </c>
      <c r="AT17" s="1">
        <v>27.9084608</v>
      </c>
      <c r="AU17" s="1">
        <v>28.391976499999998</v>
      </c>
      <c r="AV17" s="1">
        <v>26.8940816</v>
      </c>
      <c r="AW17" s="1">
        <v>26.9085532</v>
      </c>
      <c r="AX17" s="1">
        <v>27.892018400000001</v>
      </c>
      <c r="CM17" s="1">
        <v>2</v>
      </c>
      <c r="CN17" s="1">
        <v>1</v>
      </c>
      <c r="CO17" s="1" t="s">
        <v>142</v>
      </c>
      <c r="CP17" s="1" t="s">
        <v>99</v>
      </c>
      <c r="CR17" s="1" t="s">
        <v>100</v>
      </c>
      <c r="CS17" s="1">
        <v>59.974582769999998</v>
      </c>
      <c r="CT17" s="1" t="s">
        <v>143</v>
      </c>
    </row>
    <row r="18" spans="2:98" x14ac:dyDescent="0.35">
      <c r="B18" s="1">
        <v>4</v>
      </c>
      <c r="C18" s="1">
        <v>4</v>
      </c>
      <c r="D18" s="1">
        <v>0</v>
      </c>
      <c r="E18" s="1" t="s">
        <v>123</v>
      </c>
      <c r="Q18" s="1">
        <v>0</v>
      </c>
      <c r="R18" s="1">
        <v>4</v>
      </c>
      <c r="S18" s="1">
        <v>4</v>
      </c>
      <c r="T18" s="1">
        <v>2</v>
      </c>
      <c r="AC18" s="1">
        <v>28.408485500000001</v>
      </c>
      <c r="AS18" s="1">
        <v>29.392007400000001</v>
      </c>
      <c r="AT18" s="1">
        <v>29.408421199999999</v>
      </c>
      <c r="AU18" s="1">
        <v>29.8920119</v>
      </c>
      <c r="AV18" s="1">
        <v>28.394227099999998</v>
      </c>
      <c r="AW18" s="1">
        <v>28.408485500000001</v>
      </c>
      <c r="AX18" s="1">
        <v>29.3919718</v>
      </c>
      <c r="CM18" s="1">
        <v>2</v>
      </c>
      <c r="CN18" s="1">
        <v>1</v>
      </c>
      <c r="CO18" s="1" t="s">
        <v>142</v>
      </c>
      <c r="CP18" s="1" t="s">
        <v>99</v>
      </c>
      <c r="CR18" s="1" t="s">
        <v>100</v>
      </c>
      <c r="CS18" s="1">
        <v>59.974582769999998</v>
      </c>
      <c r="CT18" s="1" t="s">
        <v>143</v>
      </c>
    </row>
    <row r="19" spans="2:98" x14ac:dyDescent="0.35">
      <c r="B19" s="1">
        <v>5</v>
      </c>
      <c r="C19" s="1">
        <v>5</v>
      </c>
      <c r="D19" s="1">
        <v>0</v>
      </c>
      <c r="E19" s="1" t="s">
        <v>121</v>
      </c>
      <c r="Q19" s="1">
        <v>0</v>
      </c>
      <c r="R19" s="1">
        <v>5</v>
      </c>
      <c r="S19" s="1">
        <v>5</v>
      </c>
      <c r="T19" s="1">
        <v>3</v>
      </c>
      <c r="AC19" s="1">
        <v>29.9084483</v>
      </c>
      <c r="AS19" s="1">
        <v>30.8925847</v>
      </c>
      <c r="AT19" s="1">
        <v>30.9084416</v>
      </c>
      <c r="AU19" s="1">
        <v>31.392109600000001</v>
      </c>
      <c r="AV19" s="1">
        <v>29.896166900000001</v>
      </c>
      <c r="AW19" s="1">
        <v>29.9084483</v>
      </c>
      <c r="AX19" s="1">
        <v>30.892529100000001</v>
      </c>
      <c r="CM19" s="1">
        <v>2</v>
      </c>
      <c r="CN19" s="1">
        <v>1</v>
      </c>
      <c r="CO19" s="1" t="s">
        <v>142</v>
      </c>
      <c r="CP19" s="1" t="s">
        <v>99</v>
      </c>
      <c r="CR19" s="1" t="s">
        <v>100</v>
      </c>
      <c r="CS19" s="1">
        <v>59.974582769999998</v>
      </c>
      <c r="CT19" s="1" t="s">
        <v>143</v>
      </c>
    </row>
    <row r="20" spans="2:98" x14ac:dyDescent="0.35">
      <c r="B20" s="1">
        <v>6</v>
      </c>
      <c r="C20" s="1">
        <v>6</v>
      </c>
      <c r="D20" s="1">
        <v>0</v>
      </c>
      <c r="E20" s="1" t="s">
        <v>120</v>
      </c>
      <c r="Q20" s="1">
        <v>0</v>
      </c>
      <c r="R20" s="1">
        <v>6</v>
      </c>
      <c r="S20" s="1">
        <v>6</v>
      </c>
      <c r="T20" s="1">
        <v>4</v>
      </c>
      <c r="AC20" s="1">
        <v>31.408650999999999</v>
      </c>
      <c r="AS20" s="1">
        <v>32.392367</v>
      </c>
      <c r="AT20" s="1">
        <v>32.408470399999999</v>
      </c>
      <c r="AU20" s="1">
        <v>32.892228099999997</v>
      </c>
      <c r="AV20" s="1">
        <v>31.395504299999999</v>
      </c>
      <c r="AW20" s="1">
        <v>31.408650999999999</v>
      </c>
      <c r="AX20" s="1">
        <v>32.392280399999997</v>
      </c>
      <c r="CM20" s="1">
        <v>2</v>
      </c>
      <c r="CN20" s="1">
        <v>1</v>
      </c>
      <c r="CO20" s="1" t="s">
        <v>142</v>
      </c>
      <c r="CP20" s="1" t="s">
        <v>99</v>
      </c>
      <c r="CR20" s="1" t="s">
        <v>100</v>
      </c>
      <c r="CS20" s="1">
        <v>59.974582769999998</v>
      </c>
      <c r="CT20" s="1" t="s">
        <v>143</v>
      </c>
    </row>
    <row r="21" spans="2:98" x14ac:dyDescent="0.35">
      <c r="B21" s="1">
        <v>7</v>
      </c>
      <c r="C21" s="1">
        <v>7</v>
      </c>
      <c r="D21" s="1">
        <v>0</v>
      </c>
      <c r="E21" s="1" t="s">
        <v>115</v>
      </c>
      <c r="Q21" s="1">
        <v>0</v>
      </c>
      <c r="R21" s="1">
        <v>7</v>
      </c>
      <c r="S21" s="1">
        <v>7</v>
      </c>
      <c r="T21" s="1">
        <v>7</v>
      </c>
      <c r="AC21" s="1">
        <v>32.908610500000002</v>
      </c>
      <c r="AS21" s="1">
        <v>33.892027599999999</v>
      </c>
      <c r="AT21" s="1">
        <v>33.908445800000003</v>
      </c>
      <c r="AU21" s="1">
        <v>34.392006000000002</v>
      </c>
      <c r="AV21" s="1">
        <v>32.895290699999997</v>
      </c>
      <c r="AW21" s="1">
        <v>32.908610500000002</v>
      </c>
      <c r="AX21" s="1">
        <v>33.891986299999999</v>
      </c>
      <c r="CM21" s="1">
        <v>2</v>
      </c>
      <c r="CN21" s="1">
        <v>1</v>
      </c>
      <c r="CO21" s="1" t="s">
        <v>142</v>
      </c>
      <c r="CP21" s="1" t="s">
        <v>99</v>
      </c>
      <c r="CR21" s="1" t="s">
        <v>100</v>
      </c>
      <c r="CS21" s="1">
        <v>59.974582769999998</v>
      </c>
      <c r="CT21" s="1" t="s">
        <v>143</v>
      </c>
    </row>
    <row r="22" spans="2:98" x14ac:dyDescent="0.35">
      <c r="B22" s="1">
        <v>8</v>
      </c>
      <c r="C22" s="1">
        <v>8</v>
      </c>
      <c r="D22" s="1">
        <v>0</v>
      </c>
      <c r="E22" s="1" t="s">
        <v>119</v>
      </c>
      <c r="Q22" s="1">
        <v>0</v>
      </c>
      <c r="R22" s="1">
        <v>8</v>
      </c>
      <c r="S22" s="1">
        <v>8</v>
      </c>
      <c r="T22" s="1">
        <v>9</v>
      </c>
      <c r="AC22" s="1">
        <v>34.408298799999997</v>
      </c>
      <c r="AS22" s="1">
        <v>35.3920715</v>
      </c>
      <c r="AT22" s="1">
        <v>35.408425899999997</v>
      </c>
      <c r="AU22" s="1">
        <v>35.891920200000001</v>
      </c>
      <c r="AV22" s="1">
        <v>34.394566300000001</v>
      </c>
      <c r="AW22" s="1">
        <v>34.408298799999997</v>
      </c>
      <c r="AX22" s="1">
        <v>35.392027800000001</v>
      </c>
      <c r="CM22" s="1">
        <v>2</v>
      </c>
      <c r="CN22" s="1">
        <v>1</v>
      </c>
      <c r="CO22" s="1" t="s">
        <v>142</v>
      </c>
      <c r="CP22" s="1" t="s">
        <v>99</v>
      </c>
      <c r="CR22" s="1" t="s">
        <v>100</v>
      </c>
      <c r="CS22" s="1">
        <v>59.974582769999998</v>
      </c>
      <c r="CT22" s="1" t="s">
        <v>143</v>
      </c>
    </row>
    <row r="23" spans="2:98" x14ac:dyDescent="0.35">
      <c r="B23" s="1">
        <v>9</v>
      </c>
      <c r="C23" s="1">
        <v>9</v>
      </c>
      <c r="D23" s="1">
        <v>0</v>
      </c>
      <c r="E23" s="1" t="s">
        <v>114</v>
      </c>
      <c r="Q23" s="1">
        <v>0</v>
      </c>
      <c r="R23" s="1">
        <v>9</v>
      </c>
      <c r="S23" s="1">
        <v>9</v>
      </c>
      <c r="T23" s="1">
        <v>5</v>
      </c>
      <c r="AC23" s="1">
        <v>35.908375399999997</v>
      </c>
      <c r="AS23" s="1">
        <v>36.892091200000003</v>
      </c>
      <c r="AT23" s="1">
        <v>36.908515399999999</v>
      </c>
      <c r="AU23" s="1">
        <v>37.391997799999999</v>
      </c>
      <c r="AV23" s="1">
        <v>35.893239600000001</v>
      </c>
      <c r="AW23" s="1">
        <v>35.908375399999997</v>
      </c>
      <c r="AX23" s="1">
        <v>36.892060299999997</v>
      </c>
      <c r="CM23" s="1">
        <v>2</v>
      </c>
      <c r="CN23" s="1">
        <v>1</v>
      </c>
      <c r="CO23" s="1" t="s">
        <v>142</v>
      </c>
      <c r="CP23" s="1" t="s">
        <v>99</v>
      </c>
      <c r="CR23" s="1" t="s">
        <v>100</v>
      </c>
      <c r="CS23" s="1">
        <v>59.974582769999998</v>
      </c>
      <c r="CT23" s="1" t="s">
        <v>143</v>
      </c>
    </row>
    <row r="24" spans="2:98" x14ac:dyDescent="0.35">
      <c r="B24" s="1">
        <v>0</v>
      </c>
      <c r="C24" s="1">
        <v>0</v>
      </c>
      <c r="D24" s="1">
        <v>0</v>
      </c>
      <c r="F24" s="1" t="s">
        <v>128</v>
      </c>
      <c r="U24" s="1">
        <v>0</v>
      </c>
      <c r="V24" s="1">
        <v>0</v>
      </c>
      <c r="W24" s="1">
        <v>0</v>
      </c>
      <c r="X24" s="1">
        <v>6</v>
      </c>
      <c r="AC24" s="1">
        <v>37.460396600000003</v>
      </c>
      <c r="AS24" s="1">
        <v>38.391978000000002</v>
      </c>
      <c r="AT24" s="1">
        <v>38.4081969</v>
      </c>
      <c r="AU24" s="1">
        <v>38.891924500000002</v>
      </c>
      <c r="AY24" s="1">
        <v>37.457998099999998</v>
      </c>
      <c r="AZ24" s="1">
        <v>37.460396600000003</v>
      </c>
      <c r="BA24" s="1">
        <v>38.391931599999999</v>
      </c>
      <c r="CM24" s="1">
        <v>2</v>
      </c>
      <c r="CN24" s="1">
        <v>1</v>
      </c>
      <c r="CO24" s="1" t="s">
        <v>142</v>
      </c>
      <c r="CP24" s="1" t="s">
        <v>99</v>
      </c>
      <c r="CR24" s="1" t="s">
        <v>100</v>
      </c>
      <c r="CS24" s="1">
        <v>59.974582769999998</v>
      </c>
      <c r="CT24" s="1" t="s">
        <v>143</v>
      </c>
    </row>
    <row r="25" spans="2:98" x14ac:dyDescent="0.35">
      <c r="B25" s="1">
        <v>1</v>
      </c>
      <c r="C25" s="1">
        <v>1</v>
      </c>
      <c r="D25" s="1">
        <v>0</v>
      </c>
      <c r="F25" s="1" t="s">
        <v>130</v>
      </c>
      <c r="U25" s="1">
        <v>0</v>
      </c>
      <c r="V25" s="1">
        <v>1</v>
      </c>
      <c r="W25" s="1">
        <v>1</v>
      </c>
      <c r="X25" s="1">
        <v>3</v>
      </c>
      <c r="AC25" s="1">
        <v>38.908366100000002</v>
      </c>
      <c r="AS25" s="1">
        <v>39.892065199999998</v>
      </c>
      <c r="AT25" s="1">
        <v>39.9083015</v>
      </c>
      <c r="AU25" s="1">
        <v>40.391565700000001</v>
      </c>
      <c r="AY25" s="1">
        <v>38.894792299999999</v>
      </c>
      <c r="AZ25" s="1">
        <v>38.908366100000002</v>
      </c>
      <c r="BA25" s="1">
        <v>39.8920113</v>
      </c>
      <c r="CM25" s="1">
        <v>2</v>
      </c>
      <c r="CN25" s="1">
        <v>1</v>
      </c>
      <c r="CO25" s="1" t="s">
        <v>142</v>
      </c>
      <c r="CP25" s="1" t="s">
        <v>99</v>
      </c>
      <c r="CR25" s="1" t="s">
        <v>100</v>
      </c>
      <c r="CS25" s="1">
        <v>59.974582769999998</v>
      </c>
      <c r="CT25" s="1" t="s">
        <v>143</v>
      </c>
    </row>
    <row r="26" spans="2:98" x14ac:dyDescent="0.35">
      <c r="B26" s="1">
        <v>2</v>
      </c>
      <c r="C26" s="1">
        <v>2</v>
      </c>
      <c r="D26" s="1">
        <v>0</v>
      </c>
      <c r="F26" s="1" t="s">
        <v>126</v>
      </c>
      <c r="U26" s="1">
        <v>0</v>
      </c>
      <c r="V26" s="1">
        <v>2</v>
      </c>
      <c r="W26" s="1">
        <v>2</v>
      </c>
      <c r="X26" s="1">
        <v>4</v>
      </c>
      <c r="AC26" s="1">
        <v>40.4083136</v>
      </c>
      <c r="AS26" s="1">
        <v>41.392017899999999</v>
      </c>
      <c r="AT26" s="1">
        <v>41.408383399999998</v>
      </c>
      <c r="AU26" s="1">
        <v>41.8920192</v>
      </c>
      <c r="AY26" s="1">
        <v>40.394067700000001</v>
      </c>
      <c r="AZ26" s="1">
        <v>40.4083136</v>
      </c>
      <c r="BA26" s="1">
        <v>41.391969199999998</v>
      </c>
      <c r="CM26" s="1">
        <v>2</v>
      </c>
      <c r="CN26" s="1">
        <v>1</v>
      </c>
      <c r="CO26" s="1" t="s">
        <v>142</v>
      </c>
      <c r="CP26" s="1" t="s">
        <v>99</v>
      </c>
      <c r="CR26" s="1" t="s">
        <v>100</v>
      </c>
      <c r="CS26" s="1">
        <v>59.974582769999998</v>
      </c>
      <c r="CT26" s="1" t="s">
        <v>143</v>
      </c>
    </row>
    <row r="27" spans="2:98" x14ac:dyDescent="0.35">
      <c r="B27" s="1">
        <v>3</v>
      </c>
      <c r="C27" s="1">
        <v>3</v>
      </c>
      <c r="D27" s="1">
        <v>0</v>
      </c>
      <c r="F27" s="1" t="s">
        <v>125</v>
      </c>
      <c r="U27" s="1">
        <v>0</v>
      </c>
      <c r="V27" s="1">
        <v>3</v>
      </c>
      <c r="W27" s="1">
        <v>3</v>
      </c>
      <c r="X27" s="1">
        <v>8</v>
      </c>
      <c r="AC27" s="1">
        <v>41.908393500000003</v>
      </c>
      <c r="AS27" s="1">
        <v>42.892118000000004</v>
      </c>
      <c r="AT27" s="1">
        <v>42.908356900000001</v>
      </c>
      <c r="AU27" s="1">
        <v>43.392708499999998</v>
      </c>
      <c r="AY27" s="1">
        <v>41.895773300000002</v>
      </c>
      <c r="AZ27" s="1">
        <v>41.908393500000003</v>
      </c>
      <c r="BA27" s="1">
        <v>42.892047300000002</v>
      </c>
      <c r="CM27" s="1">
        <v>2</v>
      </c>
      <c r="CN27" s="1">
        <v>1</v>
      </c>
      <c r="CO27" s="1" t="s">
        <v>142</v>
      </c>
      <c r="CP27" s="1" t="s">
        <v>99</v>
      </c>
      <c r="CR27" s="1" t="s">
        <v>100</v>
      </c>
      <c r="CS27" s="1">
        <v>59.974582769999998</v>
      </c>
      <c r="CT27" s="1" t="s">
        <v>143</v>
      </c>
    </row>
    <row r="28" spans="2:98" x14ac:dyDescent="0.35">
      <c r="B28" s="1">
        <v>4</v>
      </c>
      <c r="C28" s="1">
        <v>4</v>
      </c>
      <c r="D28" s="1">
        <v>0</v>
      </c>
      <c r="F28" s="1" t="s">
        <v>124</v>
      </c>
      <c r="U28" s="1">
        <v>0</v>
      </c>
      <c r="V28" s="1">
        <v>4</v>
      </c>
      <c r="W28" s="1">
        <v>4</v>
      </c>
      <c r="X28" s="1">
        <v>7</v>
      </c>
      <c r="AC28" s="1">
        <v>43.408423999999997</v>
      </c>
      <c r="AS28" s="1">
        <v>44.392370700000001</v>
      </c>
      <c r="AT28" s="1">
        <v>44.408795300000001</v>
      </c>
      <c r="AU28" s="1">
        <v>44.892042699999998</v>
      </c>
      <c r="AY28" s="1">
        <v>43.3973911</v>
      </c>
      <c r="AZ28" s="1">
        <v>43.408423999999997</v>
      </c>
      <c r="BA28" s="1">
        <v>44.392300499999997</v>
      </c>
      <c r="CM28" s="1">
        <v>2</v>
      </c>
      <c r="CN28" s="1">
        <v>1</v>
      </c>
      <c r="CO28" s="1" t="s">
        <v>142</v>
      </c>
      <c r="CP28" s="1" t="s">
        <v>99</v>
      </c>
      <c r="CR28" s="1" t="s">
        <v>100</v>
      </c>
      <c r="CS28" s="1">
        <v>59.974582769999998</v>
      </c>
      <c r="CT28" s="1" t="s">
        <v>143</v>
      </c>
    </row>
    <row r="29" spans="2:98" x14ac:dyDescent="0.35">
      <c r="B29" s="1">
        <v>5</v>
      </c>
      <c r="C29" s="1">
        <v>5</v>
      </c>
      <c r="D29" s="1">
        <v>0</v>
      </c>
      <c r="F29" s="1" t="s">
        <v>133</v>
      </c>
      <c r="U29" s="1">
        <v>0</v>
      </c>
      <c r="V29" s="1">
        <v>5</v>
      </c>
      <c r="W29" s="1">
        <v>5</v>
      </c>
      <c r="X29" s="1">
        <v>1</v>
      </c>
      <c r="AC29" s="1">
        <v>44.908673299999997</v>
      </c>
      <c r="AS29" s="1">
        <v>45.8922952</v>
      </c>
      <c r="AT29" s="1">
        <v>45.908463900000001</v>
      </c>
      <c r="AU29" s="1">
        <v>46.3922843</v>
      </c>
      <c r="AY29" s="1">
        <v>44.895456600000003</v>
      </c>
      <c r="AZ29" s="1">
        <v>44.908673299999997</v>
      </c>
      <c r="BA29" s="1">
        <v>45.892232700000001</v>
      </c>
      <c r="CM29" s="1">
        <v>2</v>
      </c>
      <c r="CN29" s="1">
        <v>1</v>
      </c>
      <c r="CO29" s="1" t="s">
        <v>142</v>
      </c>
      <c r="CP29" s="1" t="s">
        <v>99</v>
      </c>
      <c r="CR29" s="1" t="s">
        <v>100</v>
      </c>
      <c r="CS29" s="1">
        <v>59.974582769999998</v>
      </c>
      <c r="CT29" s="1" t="s">
        <v>143</v>
      </c>
    </row>
    <row r="30" spans="2:98" x14ac:dyDescent="0.35">
      <c r="B30" s="1">
        <v>6</v>
      </c>
      <c r="C30" s="1">
        <v>6</v>
      </c>
      <c r="D30" s="1">
        <v>0</v>
      </c>
      <c r="F30" s="1" t="s">
        <v>129</v>
      </c>
      <c r="U30" s="1">
        <v>0</v>
      </c>
      <c r="V30" s="1">
        <v>6</v>
      </c>
      <c r="W30" s="1">
        <v>6</v>
      </c>
      <c r="X30" s="1">
        <v>0</v>
      </c>
      <c r="AC30" s="1">
        <v>46.408787699999998</v>
      </c>
      <c r="AS30" s="1">
        <v>47.392598200000002</v>
      </c>
      <c r="AT30" s="1">
        <v>47.408499999999997</v>
      </c>
      <c r="AU30" s="1">
        <v>47.892353</v>
      </c>
      <c r="AY30" s="1">
        <v>46.396670899999997</v>
      </c>
      <c r="AZ30" s="1">
        <v>46.408787699999998</v>
      </c>
      <c r="BA30" s="1">
        <v>47.392525200000001</v>
      </c>
      <c r="CM30" s="1">
        <v>2</v>
      </c>
      <c r="CN30" s="1">
        <v>1</v>
      </c>
      <c r="CO30" s="1" t="s">
        <v>142</v>
      </c>
      <c r="CP30" s="1" t="s">
        <v>99</v>
      </c>
      <c r="CR30" s="1" t="s">
        <v>100</v>
      </c>
      <c r="CS30" s="1">
        <v>59.974582769999998</v>
      </c>
      <c r="CT30" s="1" t="s">
        <v>143</v>
      </c>
    </row>
    <row r="31" spans="2:98" x14ac:dyDescent="0.35">
      <c r="B31" s="1">
        <v>7</v>
      </c>
      <c r="C31" s="1">
        <v>7</v>
      </c>
      <c r="D31" s="1">
        <v>0</v>
      </c>
      <c r="F31" s="1" t="s">
        <v>131</v>
      </c>
      <c r="U31" s="1">
        <v>0</v>
      </c>
      <c r="V31" s="1">
        <v>7</v>
      </c>
      <c r="W31" s="1">
        <v>7</v>
      </c>
      <c r="X31" s="1">
        <v>2</v>
      </c>
      <c r="AC31" s="1">
        <v>47.908521100000002</v>
      </c>
      <c r="AS31" s="1">
        <v>48.892431199999997</v>
      </c>
      <c r="AT31" s="1">
        <v>48.908628100000001</v>
      </c>
      <c r="AU31" s="1">
        <v>49.391831799999999</v>
      </c>
      <c r="AY31" s="1">
        <v>47.896997800000001</v>
      </c>
      <c r="AZ31" s="1">
        <v>47.908521100000002</v>
      </c>
      <c r="BA31" s="1">
        <v>48.892353</v>
      </c>
      <c r="CM31" s="1">
        <v>2</v>
      </c>
      <c r="CN31" s="1">
        <v>1</v>
      </c>
      <c r="CO31" s="1" t="s">
        <v>142</v>
      </c>
      <c r="CP31" s="1" t="s">
        <v>99</v>
      </c>
      <c r="CR31" s="1" t="s">
        <v>100</v>
      </c>
      <c r="CS31" s="1">
        <v>59.974582769999998</v>
      </c>
      <c r="CT31" s="1" t="s">
        <v>143</v>
      </c>
    </row>
    <row r="32" spans="2:98" x14ac:dyDescent="0.35">
      <c r="B32" s="1">
        <v>8</v>
      </c>
      <c r="C32" s="1">
        <v>8</v>
      </c>
      <c r="D32" s="1">
        <v>0</v>
      </c>
      <c r="F32" s="1" t="s">
        <v>127</v>
      </c>
      <c r="U32" s="1">
        <v>0</v>
      </c>
      <c r="V32" s="1">
        <v>8</v>
      </c>
      <c r="W32" s="1">
        <v>8</v>
      </c>
      <c r="X32" s="1">
        <v>5</v>
      </c>
      <c r="AC32" s="1">
        <v>49.408190400000002</v>
      </c>
      <c r="AS32" s="1">
        <v>50.391489900000003</v>
      </c>
      <c r="AT32" s="1">
        <v>50.407963500000001</v>
      </c>
      <c r="AU32" s="1">
        <v>50.891465799999999</v>
      </c>
      <c r="AY32" s="1">
        <v>49.395045500000002</v>
      </c>
      <c r="AZ32" s="1">
        <v>49.408190400000002</v>
      </c>
      <c r="BA32" s="1">
        <v>50.391460799999997</v>
      </c>
      <c r="CM32" s="1">
        <v>2</v>
      </c>
      <c r="CN32" s="1">
        <v>1</v>
      </c>
      <c r="CO32" s="1" t="s">
        <v>142</v>
      </c>
      <c r="CP32" s="1" t="s">
        <v>99</v>
      </c>
      <c r="CR32" s="1" t="s">
        <v>100</v>
      </c>
      <c r="CS32" s="1">
        <v>59.974582769999998</v>
      </c>
      <c r="CT32" s="1" t="s">
        <v>143</v>
      </c>
    </row>
    <row r="33" spans="2:98" x14ac:dyDescent="0.35">
      <c r="B33" s="1">
        <v>9</v>
      </c>
      <c r="C33" s="1">
        <v>9</v>
      </c>
      <c r="D33" s="1">
        <v>0</v>
      </c>
      <c r="F33" s="1" t="s">
        <v>132</v>
      </c>
      <c r="U33" s="1">
        <v>0</v>
      </c>
      <c r="V33" s="1">
        <v>9</v>
      </c>
      <c r="W33" s="1">
        <v>9</v>
      </c>
      <c r="X33" s="1">
        <v>9</v>
      </c>
      <c r="AC33" s="1">
        <v>50.907924800000004</v>
      </c>
      <c r="AS33" s="1">
        <v>51.8925263</v>
      </c>
      <c r="AT33" s="1">
        <v>51.908346100000003</v>
      </c>
      <c r="AU33" s="1">
        <v>52.392490600000002</v>
      </c>
      <c r="AY33" s="1">
        <v>50.893674400000002</v>
      </c>
      <c r="AZ33" s="1">
        <v>50.907924800000004</v>
      </c>
      <c r="BA33" s="1">
        <v>51.892449999999997</v>
      </c>
      <c r="CM33" s="1">
        <v>2</v>
      </c>
      <c r="CN33" s="1">
        <v>1</v>
      </c>
      <c r="CO33" s="1" t="s">
        <v>142</v>
      </c>
      <c r="CP33" s="1" t="s">
        <v>99</v>
      </c>
      <c r="CR33" s="1" t="s">
        <v>100</v>
      </c>
      <c r="CS33" s="1">
        <v>59.974582769999998</v>
      </c>
      <c r="CT33" s="1" t="s">
        <v>143</v>
      </c>
    </row>
    <row r="34" spans="2:98" x14ac:dyDescent="0.35">
      <c r="BB34" s="1">
        <v>52.393079800000002</v>
      </c>
      <c r="BC34" s="1">
        <v>52.408702300000002</v>
      </c>
      <c r="BD34" s="1">
        <v>52.408702300000002</v>
      </c>
      <c r="BE34" s="1">
        <v>55.141931900000003</v>
      </c>
      <c r="BF34" s="1" t="s">
        <v>102</v>
      </c>
      <c r="BG34" s="1">
        <v>2.7304814999999998</v>
      </c>
      <c r="BH34" s="1" t="s">
        <v>103</v>
      </c>
      <c r="CM34" s="1">
        <v>2</v>
      </c>
      <c r="CN34" s="1">
        <v>1</v>
      </c>
      <c r="CO34" s="1" t="s">
        <v>142</v>
      </c>
      <c r="CP34" s="1" t="s">
        <v>99</v>
      </c>
      <c r="CR34" s="1" t="s">
        <v>100</v>
      </c>
      <c r="CS34" s="1">
        <v>59.974582769999998</v>
      </c>
      <c r="CT34" s="1" t="s">
        <v>143</v>
      </c>
    </row>
    <row r="35" spans="2:98" x14ac:dyDescent="0.35">
      <c r="BI35" s="1">
        <v>55.141988599999998</v>
      </c>
      <c r="BJ35" s="1">
        <v>55.158051200000003</v>
      </c>
      <c r="BK35" s="1">
        <v>55.158051200000003</v>
      </c>
      <c r="BL35" s="1">
        <v>58.675940900000001</v>
      </c>
      <c r="BM35" s="1">
        <v>3</v>
      </c>
      <c r="BN35" s="1">
        <v>3.5037969000000002</v>
      </c>
      <c r="BO35" s="1" t="s">
        <v>103</v>
      </c>
      <c r="CM35" s="1">
        <v>2</v>
      </c>
      <c r="CN35" s="1">
        <v>1</v>
      </c>
      <c r="CO35" s="1" t="s">
        <v>142</v>
      </c>
      <c r="CP35" s="1" t="s">
        <v>99</v>
      </c>
      <c r="CR35" s="1" t="s">
        <v>100</v>
      </c>
      <c r="CS35" s="1">
        <v>59.974582769999998</v>
      </c>
      <c r="CT35" s="1" t="s">
        <v>143</v>
      </c>
    </row>
    <row r="36" spans="2:98" x14ac:dyDescent="0.35">
      <c r="BP36" s="1">
        <v>58.676042199999998</v>
      </c>
      <c r="BQ36" s="1">
        <v>58.692586800000001</v>
      </c>
      <c r="BR36" s="1">
        <v>58.692586800000001</v>
      </c>
      <c r="BS36" s="1">
        <v>76.675402500000004</v>
      </c>
      <c r="BT36" s="1" t="s">
        <v>102</v>
      </c>
      <c r="BU36" s="1">
        <v>17.9664623</v>
      </c>
      <c r="BV36" s="1" t="s">
        <v>103</v>
      </c>
      <c r="CM36" s="1">
        <v>2</v>
      </c>
      <c r="CN36" s="1">
        <v>1</v>
      </c>
      <c r="CO36" s="1" t="s">
        <v>142</v>
      </c>
      <c r="CP36" s="1" t="s">
        <v>99</v>
      </c>
      <c r="CR36" s="1" t="s">
        <v>100</v>
      </c>
      <c r="CS36" s="1">
        <v>59.974582769999998</v>
      </c>
      <c r="CT36" s="1" t="s">
        <v>143</v>
      </c>
    </row>
    <row r="37" spans="2:98" x14ac:dyDescent="0.35">
      <c r="B37" s="1">
        <v>0</v>
      </c>
      <c r="C37" s="1">
        <v>0</v>
      </c>
      <c r="D37" s="1">
        <v>0</v>
      </c>
      <c r="G37" s="1" t="s">
        <v>129</v>
      </c>
      <c r="H37" s="1" t="s">
        <v>134</v>
      </c>
      <c r="I37" s="1" t="s">
        <v>136</v>
      </c>
      <c r="J37" s="1">
        <v>0</v>
      </c>
      <c r="K37" s="1">
        <v>10.530132999999999</v>
      </c>
      <c r="L37" s="1" t="s">
        <v>103</v>
      </c>
      <c r="Y37" s="1">
        <v>0</v>
      </c>
      <c r="Z37" s="1">
        <v>0</v>
      </c>
      <c r="AA37" s="1">
        <v>0</v>
      </c>
      <c r="AB37" s="1">
        <v>5</v>
      </c>
      <c r="AC37" s="1">
        <v>76.691667899999999</v>
      </c>
      <c r="AS37" s="1">
        <v>87.2255775</v>
      </c>
      <c r="AT37" s="1">
        <v>87.241253599999993</v>
      </c>
      <c r="AU37" s="1">
        <v>87.724752600000002</v>
      </c>
      <c r="BW37" s="1">
        <v>76.688028200000005</v>
      </c>
      <c r="BX37" s="1">
        <v>76.691667899999999</v>
      </c>
      <c r="BY37" s="1">
        <v>76.691667899999999</v>
      </c>
      <c r="BZ37" s="1">
        <v>87.2254346</v>
      </c>
      <c r="CA37" s="1" t="s">
        <v>136</v>
      </c>
      <c r="CB37" s="1">
        <v>0</v>
      </c>
      <c r="CC37" s="1">
        <v>10.530132999999999</v>
      </c>
      <c r="CD37" s="1" t="s">
        <v>103</v>
      </c>
      <c r="CE37" s="1">
        <v>87.741316499999996</v>
      </c>
      <c r="CM37" s="1">
        <v>2</v>
      </c>
      <c r="CN37" s="1">
        <v>1</v>
      </c>
      <c r="CO37" s="1" t="s">
        <v>142</v>
      </c>
      <c r="CP37" s="1" t="s">
        <v>99</v>
      </c>
      <c r="CR37" s="1" t="s">
        <v>100</v>
      </c>
      <c r="CS37" s="1">
        <v>59.974582769999998</v>
      </c>
      <c r="CT37" s="1" t="s">
        <v>143</v>
      </c>
    </row>
    <row r="38" spans="2:98" x14ac:dyDescent="0.35">
      <c r="B38" s="1">
        <v>1</v>
      </c>
      <c r="C38" s="1">
        <v>1</v>
      </c>
      <c r="D38" s="1">
        <v>0</v>
      </c>
      <c r="G38" s="1" t="s">
        <v>106</v>
      </c>
      <c r="H38" s="1" t="s">
        <v>134</v>
      </c>
      <c r="I38" s="1" t="s">
        <v>134</v>
      </c>
      <c r="J38" s="1">
        <v>1</v>
      </c>
      <c r="K38" s="1">
        <v>1.1373156</v>
      </c>
      <c r="L38" s="1" t="s">
        <v>103</v>
      </c>
      <c r="Y38" s="1">
        <v>0</v>
      </c>
      <c r="Z38" s="1">
        <v>1</v>
      </c>
      <c r="AA38" s="1">
        <v>1</v>
      </c>
      <c r="AB38" s="1">
        <v>3</v>
      </c>
      <c r="AC38" s="1">
        <v>87.741316499999996</v>
      </c>
      <c r="AS38" s="1">
        <v>88.892148300000002</v>
      </c>
      <c r="AT38" s="1">
        <v>88.907891199999995</v>
      </c>
      <c r="AU38" s="1">
        <v>89.391519700000003</v>
      </c>
      <c r="BW38" s="1">
        <v>87.727434799999997</v>
      </c>
      <c r="BX38" s="1">
        <v>87.741316499999996</v>
      </c>
      <c r="BY38" s="1">
        <v>87.741316499999996</v>
      </c>
      <c r="BZ38" s="1">
        <v>88.892006800000004</v>
      </c>
      <c r="CA38" s="1" t="s">
        <v>134</v>
      </c>
      <c r="CB38" s="1">
        <v>1</v>
      </c>
      <c r="CC38" s="1">
        <v>1.1373156</v>
      </c>
      <c r="CD38" s="1" t="s">
        <v>103</v>
      </c>
      <c r="CE38" s="1">
        <v>89.408058299999993</v>
      </c>
      <c r="CM38" s="1">
        <v>2</v>
      </c>
      <c r="CN38" s="1">
        <v>1</v>
      </c>
      <c r="CO38" s="1" t="s">
        <v>142</v>
      </c>
      <c r="CP38" s="1" t="s">
        <v>99</v>
      </c>
      <c r="CR38" s="1" t="s">
        <v>100</v>
      </c>
      <c r="CS38" s="1">
        <v>59.974582769999998</v>
      </c>
      <c r="CT38" s="1" t="s">
        <v>143</v>
      </c>
    </row>
    <row r="39" spans="2:98" x14ac:dyDescent="0.35">
      <c r="B39" s="1">
        <v>2</v>
      </c>
      <c r="C39" s="1">
        <v>2</v>
      </c>
      <c r="D39" s="1">
        <v>0</v>
      </c>
      <c r="G39" s="1" t="s">
        <v>135</v>
      </c>
      <c r="H39" s="1" t="s">
        <v>136</v>
      </c>
      <c r="I39" s="1" t="s">
        <v>136</v>
      </c>
      <c r="J39" s="1">
        <v>1</v>
      </c>
      <c r="K39" s="1">
        <v>0.70289259999999998</v>
      </c>
      <c r="L39" s="1" t="s">
        <v>103</v>
      </c>
      <c r="Y39" s="1">
        <v>0</v>
      </c>
      <c r="Z39" s="1">
        <v>2</v>
      </c>
      <c r="AA39" s="1">
        <v>2</v>
      </c>
      <c r="AB39" s="1">
        <v>8</v>
      </c>
      <c r="AC39" s="1">
        <v>89.408058299999993</v>
      </c>
      <c r="AS39" s="1">
        <v>90.125392099999999</v>
      </c>
      <c r="AT39" s="1">
        <v>90.141174599999999</v>
      </c>
      <c r="AU39" s="1">
        <v>90.625017400000004</v>
      </c>
      <c r="BW39" s="1">
        <v>89.394158700000006</v>
      </c>
      <c r="BX39" s="1">
        <v>89.408058299999993</v>
      </c>
      <c r="BY39" s="1">
        <v>89.408058299999993</v>
      </c>
      <c r="BZ39" s="1">
        <v>90.125295499999993</v>
      </c>
      <c r="CA39" s="1" t="s">
        <v>136</v>
      </c>
      <c r="CB39" s="1">
        <v>1</v>
      </c>
      <c r="CC39" s="1">
        <v>0.70289259999999998</v>
      </c>
      <c r="CD39" s="1" t="s">
        <v>103</v>
      </c>
      <c r="CE39" s="1">
        <v>90.641426499999994</v>
      </c>
      <c r="CM39" s="1">
        <v>2</v>
      </c>
      <c r="CN39" s="1">
        <v>1</v>
      </c>
      <c r="CO39" s="1" t="s">
        <v>142</v>
      </c>
      <c r="CP39" s="1" t="s">
        <v>99</v>
      </c>
      <c r="CR39" s="1" t="s">
        <v>100</v>
      </c>
      <c r="CS39" s="1">
        <v>59.974582769999998</v>
      </c>
      <c r="CT39" s="1" t="s">
        <v>143</v>
      </c>
    </row>
    <row r="40" spans="2:98" x14ac:dyDescent="0.35">
      <c r="B40" s="1">
        <v>3</v>
      </c>
      <c r="C40" s="1">
        <v>3</v>
      </c>
      <c r="D40" s="1">
        <v>0</v>
      </c>
      <c r="G40" s="1" t="s">
        <v>139</v>
      </c>
      <c r="H40" s="1" t="s">
        <v>136</v>
      </c>
      <c r="I40" s="1" t="s">
        <v>136</v>
      </c>
      <c r="J40" s="1">
        <v>1</v>
      </c>
      <c r="K40" s="1">
        <v>1.5879399000000001</v>
      </c>
      <c r="L40" s="1" t="s">
        <v>103</v>
      </c>
      <c r="Y40" s="1">
        <v>0</v>
      </c>
      <c r="Z40" s="1">
        <v>3</v>
      </c>
      <c r="AA40" s="1">
        <v>3</v>
      </c>
      <c r="AB40" s="1">
        <v>9</v>
      </c>
      <c r="AC40" s="1">
        <v>90.641426499999994</v>
      </c>
      <c r="AS40" s="1">
        <v>92.241614400000003</v>
      </c>
      <c r="AT40" s="1">
        <v>92.257794799999999</v>
      </c>
      <c r="AU40" s="1">
        <v>92.741741700000006</v>
      </c>
      <c r="BW40" s="1">
        <v>90.629509600000006</v>
      </c>
      <c r="BX40" s="1">
        <v>90.641426499999994</v>
      </c>
      <c r="BY40" s="1">
        <v>90.641426499999994</v>
      </c>
      <c r="BZ40" s="1">
        <v>92.241521599999999</v>
      </c>
      <c r="CA40" s="1" t="s">
        <v>136</v>
      </c>
      <c r="CB40" s="1">
        <v>1</v>
      </c>
      <c r="CC40" s="1">
        <v>1.5879399000000001</v>
      </c>
      <c r="CD40" s="1" t="s">
        <v>103</v>
      </c>
      <c r="CE40" s="1">
        <v>92.758121000000003</v>
      </c>
      <c r="CM40" s="1">
        <v>2</v>
      </c>
      <c r="CN40" s="1">
        <v>1</v>
      </c>
      <c r="CO40" s="1" t="s">
        <v>142</v>
      </c>
      <c r="CP40" s="1" t="s">
        <v>99</v>
      </c>
      <c r="CR40" s="1" t="s">
        <v>100</v>
      </c>
      <c r="CS40" s="1">
        <v>59.974582769999998</v>
      </c>
      <c r="CT40" s="1" t="s">
        <v>143</v>
      </c>
    </row>
    <row r="41" spans="2:98" x14ac:dyDescent="0.35">
      <c r="B41" s="1">
        <v>4</v>
      </c>
      <c r="C41" s="1">
        <v>4</v>
      </c>
      <c r="D41" s="1">
        <v>0</v>
      </c>
      <c r="G41" s="1" t="s">
        <v>116</v>
      </c>
      <c r="H41" s="1" t="s">
        <v>134</v>
      </c>
      <c r="I41" s="1" t="s">
        <v>136</v>
      </c>
      <c r="J41" s="1">
        <v>0</v>
      </c>
      <c r="K41" s="1">
        <v>3.9322425999999999</v>
      </c>
      <c r="L41" s="1" t="s">
        <v>103</v>
      </c>
      <c r="Y41" s="1">
        <v>0</v>
      </c>
      <c r="Z41" s="1">
        <v>4</v>
      </c>
      <c r="AA41" s="1">
        <v>4</v>
      </c>
      <c r="AB41" s="1">
        <v>4</v>
      </c>
      <c r="AC41" s="1">
        <v>92.758121000000003</v>
      </c>
      <c r="AS41" s="1">
        <v>96.691727700000001</v>
      </c>
      <c r="AT41" s="1">
        <v>96.7074985</v>
      </c>
      <c r="AU41" s="1">
        <v>97.191336000000007</v>
      </c>
      <c r="BW41" s="1">
        <v>92.7450276</v>
      </c>
      <c r="BX41" s="1">
        <v>92.758121000000003</v>
      </c>
      <c r="BY41" s="1">
        <v>92.758121000000003</v>
      </c>
      <c r="BZ41" s="1">
        <v>96.691646700000007</v>
      </c>
      <c r="CA41" s="1" t="s">
        <v>136</v>
      </c>
      <c r="CB41" s="1">
        <v>0</v>
      </c>
      <c r="CC41" s="1">
        <v>3.9322425999999999</v>
      </c>
      <c r="CD41" s="1" t="s">
        <v>103</v>
      </c>
      <c r="CE41" s="1">
        <v>97.207701200000002</v>
      </c>
      <c r="CM41" s="1">
        <v>2</v>
      </c>
      <c r="CN41" s="1">
        <v>1</v>
      </c>
      <c r="CO41" s="1" t="s">
        <v>142</v>
      </c>
      <c r="CP41" s="1" t="s">
        <v>99</v>
      </c>
      <c r="CR41" s="1" t="s">
        <v>100</v>
      </c>
      <c r="CS41" s="1">
        <v>59.974582769999998</v>
      </c>
      <c r="CT41" s="1" t="s">
        <v>143</v>
      </c>
    </row>
    <row r="42" spans="2:98" x14ac:dyDescent="0.35">
      <c r="B42" s="1">
        <v>5</v>
      </c>
      <c r="C42" s="1">
        <v>5</v>
      </c>
      <c r="D42" s="1">
        <v>0</v>
      </c>
      <c r="G42" s="1" t="s">
        <v>138</v>
      </c>
      <c r="H42" s="1" t="s">
        <v>136</v>
      </c>
      <c r="I42" s="1" t="s">
        <v>136</v>
      </c>
      <c r="J42" s="1">
        <v>1</v>
      </c>
      <c r="K42" s="1">
        <v>1.6595508000000001</v>
      </c>
      <c r="L42" s="1" t="s">
        <v>103</v>
      </c>
      <c r="Y42" s="1">
        <v>0</v>
      </c>
      <c r="Z42" s="1">
        <v>5</v>
      </c>
      <c r="AA42" s="1">
        <v>5</v>
      </c>
      <c r="AB42" s="1">
        <v>0</v>
      </c>
      <c r="AC42" s="1">
        <v>97.207701200000002</v>
      </c>
      <c r="AS42" s="1">
        <v>98.874696299999997</v>
      </c>
      <c r="AT42" s="1">
        <v>98.890979299999998</v>
      </c>
      <c r="AU42" s="1">
        <v>99.3744856</v>
      </c>
      <c r="BW42" s="1">
        <v>97.194836899999999</v>
      </c>
      <c r="BX42" s="1">
        <v>97.207701200000002</v>
      </c>
      <c r="BY42" s="1">
        <v>97.207701200000002</v>
      </c>
      <c r="BZ42" s="1">
        <v>98.8746194</v>
      </c>
      <c r="CA42" s="1" t="s">
        <v>136</v>
      </c>
      <c r="CB42" s="1">
        <v>1</v>
      </c>
      <c r="CC42" s="1">
        <v>1.6595508000000001</v>
      </c>
      <c r="CD42" s="1" t="s">
        <v>103</v>
      </c>
      <c r="CE42" s="1">
        <v>99.391037299999994</v>
      </c>
      <c r="CM42" s="1">
        <v>2</v>
      </c>
      <c r="CN42" s="1">
        <v>1</v>
      </c>
      <c r="CO42" s="1" t="s">
        <v>142</v>
      </c>
      <c r="CP42" s="1" t="s">
        <v>99</v>
      </c>
      <c r="CR42" s="1" t="s">
        <v>100</v>
      </c>
      <c r="CS42" s="1">
        <v>59.974582769999998</v>
      </c>
      <c r="CT42" s="1" t="s">
        <v>143</v>
      </c>
    </row>
    <row r="43" spans="2:98" x14ac:dyDescent="0.35">
      <c r="B43" s="1">
        <v>6</v>
      </c>
      <c r="C43" s="1">
        <v>6</v>
      </c>
      <c r="D43" s="1">
        <v>0</v>
      </c>
      <c r="G43" s="1" t="s">
        <v>141</v>
      </c>
      <c r="H43" s="1" t="s">
        <v>136</v>
      </c>
      <c r="I43" s="1" t="s">
        <v>134</v>
      </c>
      <c r="J43" s="1">
        <v>0</v>
      </c>
      <c r="K43" s="1">
        <v>0.87648669999999995</v>
      </c>
      <c r="L43" s="1" t="s">
        <v>103</v>
      </c>
      <c r="Y43" s="1">
        <v>0</v>
      </c>
      <c r="Z43" s="1">
        <v>6</v>
      </c>
      <c r="AA43" s="1">
        <v>6</v>
      </c>
      <c r="AB43" s="1">
        <v>1</v>
      </c>
      <c r="AC43" s="1">
        <v>99.391037299999994</v>
      </c>
      <c r="AS43" s="1">
        <v>100.2748236</v>
      </c>
      <c r="AT43" s="1">
        <v>100.2908111</v>
      </c>
      <c r="AU43" s="1">
        <v>100.7744574</v>
      </c>
      <c r="BW43" s="1">
        <v>99.376714000000007</v>
      </c>
      <c r="BX43" s="1">
        <v>99.391037299999994</v>
      </c>
      <c r="BY43" s="1">
        <v>99.391037299999994</v>
      </c>
      <c r="BZ43" s="1">
        <v>100.2747305</v>
      </c>
      <c r="CA43" s="1" t="s">
        <v>134</v>
      </c>
      <c r="CB43" s="1">
        <v>0</v>
      </c>
      <c r="CC43" s="1">
        <v>0.87648669999999995</v>
      </c>
      <c r="CD43" s="1" t="s">
        <v>103</v>
      </c>
      <c r="CE43" s="1">
        <v>100.7908422</v>
      </c>
      <c r="CM43" s="1">
        <v>2</v>
      </c>
      <c r="CN43" s="1">
        <v>1</v>
      </c>
      <c r="CO43" s="1" t="s">
        <v>142</v>
      </c>
      <c r="CP43" s="1" t="s">
        <v>99</v>
      </c>
      <c r="CR43" s="1" t="s">
        <v>100</v>
      </c>
      <c r="CS43" s="1">
        <v>59.974582769999998</v>
      </c>
      <c r="CT43" s="1" t="s">
        <v>143</v>
      </c>
    </row>
    <row r="44" spans="2:98" x14ac:dyDescent="0.35">
      <c r="B44" s="1">
        <v>7</v>
      </c>
      <c r="C44" s="1">
        <v>7</v>
      </c>
      <c r="D44" s="1">
        <v>0</v>
      </c>
      <c r="G44" s="1" t="s">
        <v>140</v>
      </c>
      <c r="H44" s="1" t="s">
        <v>136</v>
      </c>
      <c r="I44" s="1" t="s">
        <v>134</v>
      </c>
      <c r="J44" s="1">
        <v>0</v>
      </c>
      <c r="K44" s="1">
        <v>0.99075760000000002</v>
      </c>
      <c r="L44" s="1" t="s">
        <v>103</v>
      </c>
      <c r="Y44" s="1">
        <v>0</v>
      </c>
      <c r="Z44" s="1">
        <v>7</v>
      </c>
      <c r="AA44" s="1">
        <v>7</v>
      </c>
      <c r="AB44" s="1">
        <v>2</v>
      </c>
      <c r="AC44" s="1">
        <v>100.7908422</v>
      </c>
      <c r="AS44" s="1">
        <v>101.7920627</v>
      </c>
      <c r="AT44" s="1">
        <v>101.8079414</v>
      </c>
      <c r="AU44" s="1">
        <v>102.29190989999999</v>
      </c>
      <c r="BW44" s="1">
        <v>100.7774537</v>
      </c>
      <c r="BX44" s="1">
        <v>100.7908422</v>
      </c>
      <c r="BY44" s="1">
        <v>100.7908422</v>
      </c>
      <c r="BZ44" s="1">
        <v>101.79191470000001</v>
      </c>
      <c r="CA44" s="1" t="s">
        <v>134</v>
      </c>
      <c r="CB44" s="1">
        <v>0</v>
      </c>
      <c r="CC44" s="1">
        <v>0.99075760000000002</v>
      </c>
      <c r="CD44" s="1" t="s">
        <v>103</v>
      </c>
      <c r="CE44" s="1">
        <v>102.30786000000001</v>
      </c>
      <c r="CM44" s="1">
        <v>2</v>
      </c>
      <c r="CN44" s="1">
        <v>1</v>
      </c>
      <c r="CO44" s="1" t="s">
        <v>142</v>
      </c>
      <c r="CP44" s="1" t="s">
        <v>99</v>
      </c>
      <c r="CR44" s="1" t="s">
        <v>100</v>
      </c>
      <c r="CS44" s="1">
        <v>59.974582769999998</v>
      </c>
      <c r="CT44" s="1" t="s">
        <v>143</v>
      </c>
    </row>
    <row r="45" spans="2:98" x14ac:dyDescent="0.35">
      <c r="B45" s="1">
        <v>8</v>
      </c>
      <c r="C45" s="1">
        <v>8</v>
      </c>
      <c r="D45" s="1">
        <v>0</v>
      </c>
      <c r="G45" s="1" t="s">
        <v>130</v>
      </c>
      <c r="H45" s="1" t="s">
        <v>134</v>
      </c>
      <c r="I45" s="1" t="s">
        <v>134</v>
      </c>
      <c r="J45" s="1">
        <v>1</v>
      </c>
      <c r="K45" s="1">
        <v>0.55800139999999998</v>
      </c>
      <c r="L45" s="1" t="s">
        <v>103</v>
      </c>
      <c r="Y45" s="1">
        <v>0</v>
      </c>
      <c r="Z45" s="1">
        <v>8</v>
      </c>
      <c r="AA45" s="1">
        <v>8</v>
      </c>
      <c r="AB45" s="1">
        <v>6</v>
      </c>
      <c r="AC45" s="1">
        <v>102.30786000000001</v>
      </c>
      <c r="AS45" s="1">
        <v>102.8755421</v>
      </c>
      <c r="AT45" s="1">
        <v>102.89105069999999</v>
      </c>
      <c r="AU45" s="1">
        <v>103.37509350000001</v>
      </c>
      <c r="BW45" s="1">
        <v>102.2965471</v>
      </c>
      <c r="BX45" s="1">
        <v>102.30786000000001</v>
      </c>
      <c r="BY45" s="1">
        <v>102.30786000000001</v>
      </c>
      <c r="BZ45" s="1">
        <v>102.875404</v>
      </c>
      <c r="CA45" s="1" t="s">
        <v>134</v>
      </c>
      <c r="CB45" s="1">
        <v>1</v>
      </c>
      <c r="CC45" s="1">
        <v>0.55800139999999998</v>
      </c>
      <c r="CD45" s="1" t="s">
        <v>103</v>
      </c>
      <c r="CE45" s="1">
        <v>103.3913963</v>
      </c>
      <c r="CM45" s="1">
        <v>2</v>
      </c>
      <c r="CN45" s="1">
        <v>1</v>
      </c>
      <c r="CO45" s="1" t="s">
        <v>142</v>
      </c>
      <c r="CP45" s="1" t="s">
        <v>99</v>
      </c>
      <c r="CR45" s="1" t="s">
        <v>100</v>
      </c>
      <c r="CS45" s="1">
        <v>59.974582769999998</v>
      </c>
      <c r="CT45" s="1" t="s">
        <v>143</v>
      </c>
    </row>
    <row r="46" spans="2:98" x14ac:dyDescent="0.35">
      <c r="B46" s="1">
        <v>9</v>
      </c>
      <c r="C46" s="1">
        <v>9</v>
      </c>
      <c r="D46" s="1">
        <v>0</v>
      </c>
      <c r="G46" s="1" t="s">
        <v>137</v>
      </c>
      <c r="H46" s="1" t="s">
        <v>136</v>
      </c>
      <c r="I46" s="1" t="s">
        <v>136</v>
      </c>
      <c r="J46" s="1">
        <v>1</v>
      </c>
      <c r="K46" s="1">
        <v>0.80100680000000002</v>
      </c>
      <c r="L46" s="1" t="s">
        <v>103</v>
      </c>
      <c r="Y46" s="1">
        <v>0</v>
      </c>
      <c r="Z46" s="1">
        <v>9</v>
      </c>
      <c r="AA46" s="1">
        <v>9</v>
      </c>
      <c r="AB46" s="1">
        <v>7</v>
      </c>
      <c r="AC46" s="1">
        <v>103.3913963</v>
      </c>
      <c r="AS46" s="1">
        <v>104.208372</v>
      </c>
      <c r="AT46" s="1">
        <v>104.2245885</v>
      </c>
      <c r="AU46" s="1">
        <v>104.7081677</v>
      </c>
      <c r="BW46" s="1">
        <v>103.38000940000001</v>
      </c>
      <c r="BX46" s="1">
        <v>103.3913963</v>
      </c>
      <c r="BY46" s="1">
        <v>103.3913963</v>
      </c>
      <c r="BZ46" s="1">
        <v>104.2082601</v>
      </c>
      <c r="CA46" s="1" t="s">
        <v>136</v>
      </c>
      <c r="CB46" s="1">
        <v>1</v>
      </c>
      <c r="CC46" s="1">
        <v>0.80100680000000002</v>
      </c>
      <c r="CD46" s="1" t="s">
        <v>103</v>
      </c>
      <c r="CE46" s="1">
        <v>104.724723</v>
      </c>
      <c r="CM46" s="1">
        <v>2</v>
      </c>
      <c r="CN46" s="1">
        <v>1</v>
      </c>
      <c r="CO46" s="1" t="s">
        <v>142</v>
      </c>
      <c r="CP46" s="1" t="s">
        <v>99</v>
      </c>
      <c r="CR46" s="1" t="s">
        <v>100</v>
      </c>
      <c r="CS46" s="1">
        <v>59.974582769999998</v>
      </c>
      <c r="CT46" s="1" t="s">
        <v>143</v>
      </c>
    </row>
    <row r="47" spans="2:98" x14ac:dyDescent="0.35">
      <c r="CF47" s="1">
        <v>104.7083344</v>
      </c>
      <c r="CG47" s="1">
        <v>104.724723</v>
      </c>
      <c r="CH47" s="1">
        <v>104.724723</v>
      </c>
      <c r="CI47" s="1">
        <v>106.6747367</v>
      </c>
      <c r="CJ47" s="1" t="s">
        <v>102</v>
      </c>
      <c r="CK47" s="1">
        <v>1.9389563999999999</v>
      </c>
      <c r="CL47" s="1" t="s">
        <v>103</v>
      </c>
      <c r="CM47" s="1">
        <v>2</v>
      </c>
      <c r="CN47" s="1">
        <v>1</v>
      </c>
      <c r="CO47" s="1" t="s">
        <v>142</v>
      </c>
      <c r="CP47" s="1" t="s">
        <v>99</v>
      </c>
      <c r="CR47" s="1" t="s">
        <v>100</v>
      </c>
      <c r="CS47" s="1">
        <v>59.974582769999998</v>
      </c>
      <c r="CT47" s="1" t="s">
        <v>143</v>
      </c>
    </row>
    <row r="49" spans="10:11" x14ac:dyDescent="0.35">
      <c r="J49" s="2">
        <f>AVERAGE(J37:J46)</f>
        <v>0.6</v>
      </c>
      <c r="K49" s="2">
        <f>AVERAGE(K37:K46)</f>
        <v>2.2776326999999998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51EB9A-3968-4A11-A170-6F25F29D8D0A}">
  <dimension ref="A1:CT49"/>
  <sheetViews>
    <sheetView topLeftCell="A36" workbookViewId="0">
      <selection activeCell="J46" sqref="J46"/>
    </sheetView>
  </sheetViews>
  <sheetFormatPr defaultRowHeight="14.5" x14ac:dyDescent="0.35"/>
  <cols>
    <col min="1" max="16384" width="8.7265625" style="1"/>
  </cols>
  <sheetData>
    <row r="1" spans="1:9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</row>
    <row r="2" spans="1:98" x14ac:dyDescent="0.35">
      <c r="AE2" s="1">
        <v>1.8196E-3</v>
      </c>
      <c r="AF2" s="1">
        <v>4.7609999999999996E-3</v>
      </c>
      <c r="AG2" s="1">
        <v>3.0063502999999998</v>
      </c>
      <c r="AH2" s="1">
        <v>2.9903412999999999</v>
      </c>
      <c r="CM2" s="1">
        <v>3</v>
      </c>
      <c r="CN2" s="1">
        <v>1</v>
      </c>
      <c r="CO2" s="1" t="s">
        <v>144</v>
      </c>
      <c r="CP2" s="1" t="s">
        <v>99</v>
      </c>
      <c r="CR2" s="1" t="s">
        <v>100</v>
      </c>
      <c r="CS2" s="1">
        <v>60.209480829999997</v>
      </c>
      <c r="CT2" s="1" t="s">
        <v>145</v>
      </c>
    </row>
    <row r="3" spans="1:98" x14ac:dyDescent="0.35">
      <c r="AI3" s="1">
        <v>2.9904027000000002</v>
      </c>
      <c r="AJ3" s="1">
        <v>3.0063502999999998</v>
      </c>
      <c r="AK3" s="1">
        <v>3.0063502999999998</v>
      </c>
      <c r="AL3" s="1">
        <v>21.660784</v>
      </c>
      <c r="AM3" s="1" t="s">
        <v>102</v>
      </c>
      <c r="AN3" s="1">
        <v>18.6238247</v>
      </c>
      <c r="AO3" s="1" t="s">
        <v>103</v>
      </c>
      <c r="CM3" s="1">
        <v>3</v>
      </c>
      <c r="CN3" s="1">
        <v>1</v>
      </c>
      <c r="CO3" s="1" t="s">
        <v>144</v>
      </c>
      <c r="CP3" s="1" t="s">
        <v>99</v>
      </c>
      <c r="CR3" s="1" t="s">
        <v>100</v>
      </c>
      <c r="CS3" s="1">
        <v>60.209480829999997</v>
      </c>
      <c r="CT3" s="1" t="s">
        <v>145</v>
      </c>
    </row>
    <row r="4" spans="1:98" x14ac:dyDescent="0.35">
      <c r="A4" s="1" t="s">
        <v>113</v>
      </c>
      <c r="B4" s="1">
        <v>0</v>
      </c>
      <c r="C4" s="1">
        <v>0</v>
      </c>
      <c r="D4" s="1">
        <v>0</v>
      </c>
      <c r="M4" s="1">
        <v>0</v>
      </c>
      <c r="N4" s="1">
        <v>0</v>
      </c>
      <c r="O4" s="1">
        <v>0</v>
      </c>
      <c r="P4" s="1">
        <v>5</v>
      </c>
      <c r="AC4" s="1">
        <v>21.676728799999999</v>
      </c>
      <c r="AP4" s="1">
        <v>21.6732081</v>
      </c>
      <c r="AQ4" s="1">
        <v>21.676728799999999</v>
      </c>
      <c r="AR4" s="1">
        <v>22.672348299999999</v>
      </c>
      <c r="AS4" s="1">
        <v>22.672377699999998</v>
      </c>
      <c r="AT4" s="1">
        <v>22.6890255</v>
      </c>
      <c r="AU4" s="1">
        <v>23.172957100000001</v>
      </c>
      <c r="CM4" s="1">
        <v>3</v>
      </c>
      <c r="CN4" s="1">
        <v>1</v>
      </c>
      <c r="CO4" s="1" t="s">
        <v>144</v>
      </c>
      <c r="CP4" s="1" t="s">
        <v>99</v>
      </c>
      <c r="CR4" s="1" t="s">
        <v>100</v>
      </c>
      <c r="CS4" s="1">
        <v>60.209480829999997</v>
      </c>
      <c r="CT4" s="1" t="s">
        <v>145</v>
      </c>
    </row>
    <row r="5" spans="1:98" x14ac:dyDescent="0.35">
      <c r="A5" s="1" t="s">
        <v>106</v>
      </c>
      <c r="B5" s="1">
        <v>1</v>
      </c>
      <c r="C5" s="1">
        <v>1</v>
      </c>
      <c r="D5" s="1">
        <v>0</v>
      </c>
      <c r="M5" s="1">
        <v>0</v>
      </c>
      <c r="N5" s="1">
        <v>1</v>
      </c>
      <c r="O5" s="1">
        <v>1</v>
      </c>
      <c r="P5" s="1">
        <v>0</v>
      </c>
      <c r="AC5" s="1">
        <v>23.189420500000001</v>
      </c>
      <c r="AP5" s="1">
        <v>23.1771651</v>
      </c>
      <c r="AQ5" s="1">
        <v>23.189420500000001</v>
      </c>
      <c r="AR5" s="1">
        <v>24.1726247</v>
      </c>
      <c r="AS5" s="1">
        <v>24.172679299999999</v>
      </c>
      <c r="AT5" s="1">
        <v>24.188989200000002</v>
      </c>
      <c r="AU5" s="1">
        <v>24.6726381</v>
      </c>
      <c r="CM5" s="1">
        <v>3</v>
      </c>
      <c r="CN5" s="1">
        <v>1</v>
      </c>
      <c r="CO5" s="1" t="s">
        <v>144</v>
      </c>
      <c r="CP5" s="1" t="s">
        <v>99</v>
      </c>
      <c r="CR5" s="1" t="s">
        <v>100</v>
      </c>
      <c r="CS5" s="1">
        <v>60.209480829999997</v>
      </c>
      <c r="CT5" s="1" t="s">
        <v>145</v>
      </c>
    </row>
    <row r="6" spans="1:98" x14ac:dyDescent="0.35">
      <c r="A6" s="1" t="s">
        <v>104</v>
      </c>
      <c r="B6" s="1">
        <v>2</v>
      </c>
      <c r="C6" s="1">
        <v>2</v>
      </c>
      <c r="D6" s="1">
        <v>0</v>
      </c>
      <c r="M6" s="1">
        <v>0</v>
      </c>
      <c r="N6" s="1">
        <v>2</v>
      </c>
      <c r="O6" s="1">
        <v>2</v>
      </c>
      <c r="P6" s="1">
        <v>2</v>
      </c>
      <c r="AC6" s="1">
        <v>24.689408</v>
      </c>
      <c r="AP6" s="1">
        <v>24.674415499999999</v>
      </c>
      <c r="AQ6" s="1">
        <v>24.689408</v>
      </c>
      <c r="AR6" s="1">
        <v>25.672299200000001</v>
      </c>
      <c r="AS6" s="1">
        <v>25.672332300000001</v>
      </c>
      <c r="AT6" s="1">
        <v>25.689155199999998</v>
      </c>
      <c r="AU6" s="1">
        <v>26.172761300000001</v>
      </c>
      <c r="CM6" s="1">
        <v>3</v>
      </c>
      <c r="CN6" s="1">
        <v>1</v>
      </c>
      <c r="CO6" s="1" t="s">
        <v>144</v>
      </c>
      <c r="CP6" s="1" t="s">
        <v>99</v>
      </c>
      <c r="CR6" s="1" t="s">
        <v>100</v>
      </c>
      <c r="CS6" s="1">
        <v>60.209480829999997</v>
      </c>
      <c r="CT6" s="1" t="s">
        <v>145</v>
      </c>
    </row>
    <row r="7" spans="1:98" x14ac:dyDescent="0.35">
      <c r="A7" s="1" t="s">
        <v>105</v>
      </c>
      <c r="B7" s="1">
        <v>3</v>
      </c>
      <c r="C7" s="1">
        <v>3</v>
      </c>
      <c r="D7" s="1">
        <v>0</v>
      </c>
      <c r="M7" s="1">
        <v>0</v>
      </c>
      <c r="N7" s="1">
        <v>3</v>
      </c>
      <c r="O7" s="1">
        <v>3</v>
      </c>
      <c r="P7" s="1">
        <v>1</v>
      </c>
      <c r="AC7" s="1">
        <v>26.189236699999999</v>
      </c>
      <c r="AP7" s="1">
        <v>26.176163899999999</v>
      </c>
      <c r="AQ7" s="1">
        <v>26.189236699999999</v>
      </c>
      <c r="AR7" s="1">
        <v>27.1725177</v>
      </c>
      <c r="AS7" s="1">
        <v>27.1725818</v>
      </c>
      <c r="AT7" s="1">
        <v>27.1891605</v>
      </c>
      <c r="AU7" s="1">
        <v>27.672427200000001</v>
      </c>
      <c r="CM7" s="1">
        <v>3</v>
      </c>
      <c r="CN7" s="1">
        <v>1</v>
      </c>
      <c r="CO7" s="1" t="s">
        <v>144</v>
      </c>
      <c r="CP7" s="1" t="s">
        <v>99</v>
      </c>
      <c r="CR7" s="1" t="s">
        <v>100</v>
      </c>
      <c r="CS7" s="1">
        <v>60.209480829999997</v>
      </c>
      <c r="CT7" s="1" t="s">
        <v>145</v>
      </c>
    </row>
    <row r="8" spans="1:98" x14ac:dyDescent="0.35">
      <c r="A8" s="1" t="s">
        <v>109</v>
      </c>
      <c r="B8" s="1">
        <v>4</v>
      </c>
      <c r="C8" s="1">
        <v>4</v>
      </c>
      <c r="D8" s="1">
        <v>0</v>
      </c>
      <c r="M8" s="1">
        <v>0</v>
      </c>
      <c r="N8" s="1">
        <v>4</v>
      </c>
      <c r="O8" s="1">
        <v>4</v>
      </c>
      <c r="P8" s="1">
        <v>8</v>
      </c>
      <c r="AC8" s="1">
        <v>27.6892055</v>
      </c>
      <c r="AP8" s="1">
        <v>27.674718500000001</v>
      </c>
      <c r="AQ8" s="1">
        <v>27.6892055</v>
      </c>
      <c r="AR8" s="1">
        <v>28.673026199999999</v>
      </c>
      <c r="AS8" s="1">
        <v>28.673063200000001</v>
      </c>
      <c r="AT8" s="1">
        <v>28.689702100000002</v>
      </c>
      <c r="AU8" s="1">
        <v>29.172944399999999</v>
      </c>
      <c r="CM8" s="1">
        <v>3</v>
      </c>
      <c r="CN8" s="1">
        <v>1</v>
      </c>
      <c r="CO8" s="1" t="s">
        <v>144</v>
      </c>
      <c r="CP8" s="1" t="s">
        <v>99</v>
      </c>
      <c r="CR8" s="1" t="s">
        <v>100</v>
      </c>
      <c r="CS8" s="1">
        <v>60.209480829999997</v>
      </c>
      <c r="CT8" s="1" t="s">
        <v>145</v>
      </c>
    </row>
    <row r="9" spans="1:98" x14ac:dyDescent="0.35">
      <c r="A9" s="1" t="s">
        <v>110</v>
      </c>
      <c r="B9" s="1">
        <v>5</v>
      </c>
      <c r="C9" s="1">
        <v>5</v>
      </c>
      <c r="D9" s="1">
        <v>0</v>
      </c>
      <c r="M9" s="1">
        <v>0</v>
      </c>
      <c r="N9" s="1">
        <v>5</v>
      </c>
      <c r="O9" s="1">
        <v>5</v>
      </c>
      <c r="P9" s="1">
        <v>7</v>
      </c>
      <c r="AC9" s="1">
        <v>29.1891511</v>
      </c>
      <c r="AP9" s="1">
        <v>29.177688799999999</v>
      </c>
      <c r="AQ9" s="1">
        <v>29.1891511</v>
      </c>
      <c r="AR9" s="1">
        <v>30.172478099999999</v>
      </c>
      <c r="AS9" s="1">
        <v>30.172567699999998</v>
      </c>
      <c r="AT9" s="1">
        <v>30.189470700000001</v>
      </c>
      <c r="AU9" s="1">
        <v>30.672589599999998</v>
      </c>
      <c r="CM9" s="1">
        <v>3</v>
      </c>
      <c r="CN9" s="1">
        <v>1</v>
      </c>
      <c r="CO9" s="1" t="s">
        <v>144</v>
      </c>
      <c r="CP9" s="1" t="s">
        <v>99</v>
      </c>
      <c r="CR9" s="1" t="s">
        <v>100</v>
      </c>
      <c r="CS9" s="1">
        <v>60.209480829999997</v>
      </c>
      <c r="CT9" s="1" t="s">
        <v>145</v>
      </c>
    </row>
    <row r="10" spans="1:98" x14ac:dyDescent="0.35">
      <c r="A10" s="1" t="s">
        <v>107</v>
      </c>
      <c r="B10" s="1">
        <v>6</v>
      </c>
      <c r="C10" s="1">
        <v>6</v>
      </c>
      <c r="D10" s="1">
        <v>0</v>
      </c>
      <c r="M10" s="1">
        <v>0</v>
      </c>
      <c r="N10" s="1">
        <v>6</v>
      </c>
      <c r="O10" s="1">
        <v>6</v>
      </c>
      <c r="P10" s="1">
        <v>9</v>
      </c>
      <c r="AC10" s="1">
        <v>30.6892122</v>
      </c>
      <c r="AP10" s="1">
        <v>30.675716699999999</v>
      </c>
      <c r="AQ10" s="1">
        <v>30.6892122</v>
      </c>
      <c r="AR10" s="1">
        <v>31.6723593</v>
      </c>
      <c r="AS10" s="1">
        <v>31.6723915</v>
      </c>
      <c r="AT10" s="1">
        <v>31.688946699999999</v>
      </c>
      <c r="AU10" s="1">
        <v>32.173043900000003</v>
      </c>
      <c r="CM10" s="1">
        <v>3</v>
      </c>
      <c r="CN10" s="1">
        <v>1</v>
      </c>
      <c r="CO10" s="1" t="s">
        <v>144</v>
      </c>
      <c r="CP10" s="1" t="s">
        <v>99</v>
      </c>
      <c r="CR10" s="1" t="s">
        <v>100</v>
      </c>
      <c r="CS10" s="1">
        <v>60.209480829999997</v>
      </c>
      <c r="CT10" s="1" t="s">
        <v>145</v>
      </c>
    </row>
    <row r="11" spans="1:98" x14ac:dyDescent="0.35">
      <c r="A11" s="1" t="s">
        <v>111</v>
      </c>
      <c r="B11" s="1">
        <v>7</v>
      </c>
      <c r="C11" s="1">
        <v>7</v>
      </c>
      <c r="D11" s="1">
        <v>0</v>
      </c>
      <c r="M11" s="1">
        <v>0</v>
      </c>
      <c r="N11" s="1">
        <v>7</v>
      </c>
      <c r="O11" s="1">
        <v>7</v>
      </c>
      <c r="P11" s="1">
        <v>3</v>
      </c>
      <c r="AC11" s="1">
        <v>32.189215900000001</v>
      </c>
      <c r="AP11" s="1">
        <v>32.177280099999997</v>
      </c>
      <c r="AQ11" s="1">
        <v>32.189215900000001</v>
      </c>
      <c r="AR11" s="1">
        <v>33.172316000000002</v>
      </c>
      <c r="AS11" s="1">
        <v>33.172370200000003</v>
      </c>
      <c r="AT11" s="1">
        <v>33.1889635</v>
      </c>
      <c r="AU11" s="1">
        <v>33.672032199999997</v>
      </c>
      <c r="CM11" s="1">
        <v>3</v>
      </c>
      <c r="CN11" s="1">
        <v>1</v>
      </c>
      <c r="CO11" s="1" t="s">
        <v>144</v>
      </c>
      <c r="CP11" s="1" t="s">
        <v>99</v>
      </c>
      <c r="CR11" s="1" t="s">
        <v>100</v>
      </c>
      <c r="CS11" s="1">
        <v>60.209480829999997</v>
      </c>
      <c r="CT11" s="1" t="s">
        <v>145</v>
      </c>
    </row>
    <row r="12" spans="1:98" x14ac:dyDescent="0.35">
      <c r="A12" s="1" t="s">
        <v>112</v>
      </c>
      <c r="B12" s="1">
        <v>8</v>
      </c>
      <c r="C12" s="1">
        <v>8</v>
      </c>
      <c r="D12" s="1">
        <v>0</v>
      </c>
      <c r="M12" s="1">
        <v>0</v>
      </c>
      <c r="N12" s="1">
        <v>8</v>
      </c>
      <c r="O12" s="1">
        <v>8</v>
      </c>
      <c r="P12" s="1">
        <v>6</v>
      </c>
      <c r="AC12" s="1">
        <v>33.688665</v>
      </c>
      <c r="AP12" s="1">
        <v>33.673690000000001</v>
      </c>
      <c r="AQ12" s="1">
        <v>33.688665</v>
      </c>
      <c r="AR12" s="1">
        <v>34.672044</v>
      </c>
      <c r="AS12" s="1">
        <v>34.672071699999996</v>
      </c>
      <c r="AT12" s="1">
        <v>34.6886364</v>
      </c>
      <c r="AU12" s="1">
        <v>35.1728387</v>
      </c>
      <c r="CM12" s="1">
        <v>3</v>
      </c>
      <c r="CN12" s="1">
        <v>1</v>
      </c>
      <c r="CO12" s="1" t="s">
        <v>144</v>
      </c>
      <c r="CP12" s="1" t="s">
        <v>99</v>
      </c>
      <c r="CR12" s="1" t="s">
        <v>100</v>
      </c>
      <c r="CS12" s="1">
        <v>60.209480829999997</v>
      </c>
      <c r="CT12" s="1" t="s">
        <v>145</v>
      </c>
    </row>
    <row r="13" spans="1:98" x14ac:dyDescent="0.35">
      <c r="A13" s="1" t="s">
        <v>108</v>
      </c>
      <c r="B13" s="1">
        <v>9</v>
      </c>
      <c r="C13" s="1">
        <v>9</v>
      </c>
      <c r="D13" s="1">
        <v>0</v>
      </c>
      <c r="M13" s="1">
        <v>0</v>
      </c>
      <c r="N13" s="1">
        <v>9</v>
      </c>
      <c r="O13" s="1">
        <v>9</v>
      </c>
      <c r="P13" s="1">
        <v>4</v>
      </c>
      <c r="AC13" s="1">
        <v>35.189306899999998</v>
      </c>
      <c r="AP13" s="1">
        <v>35.177434699999999</v>
      </c>
      <c r="AQ13" s="1">
        <v>35.189306899999998</v>
      </c>
      <c r="AR13" s="1">
        <v>36.172677100000001</v>
      </c>
      <c r="AS13" s="1">
        <v>36.172740300000001</v>
      </c>
      <c r="AT13" s="1">
        <v>36.189396500000001</v>
      </c>
      <c r="AU13" s="1">
        <v>36.672139700000002</v>
      </c>
      <c r="CM13" s="1">
        <v>3</v>
      </c>
      <c r="CN13" s="1">
        <v>1</v>
      </c>
      <c r="CO13" s="1" t="s">
        <v>144</v>
      </c>
      <c r="CP13" s="1" t="s">
        <v>99</v>
      </c>
      <c r="CR13" s="1" t="s">
        <v>100</v>
      </c>
      <c r="CS13" s="1">
        <v>60.209480829999997</v>
      </c>
      <c r="CT13" s="1" t="s">
        <v>145</v>
      </c>
    </row>
    <row r="14" spans="1:98" x14ac:dyDescent="0.35">
      <c r="B14" s="1">
        <v>0</v>
      </c>
      <c r="C14" s="1">
        <v>0</v>
      </c>
      <c r="D14" s="1">
        <v>0</v>
      </c>
      <c r="E14" s="1" t="s">
        <v>123</v>
      </c>
      <c r="Q14" s="1">
        <v>0</v>
      </c>
      <c r="R14" s="1">
        <v>0</v>
      </c>
      <c r="S14" s="1">
        <v>0</v>
      </c>
      <c r="T14" s="1">
        <v>2</v>
      </c>
      <c r="AC14" s="1">
        <v>36.688599199999999</v>
      </c>
      <c r="AS14" s="1">
        <v>37.672316899999998</v>
      </c>
      <c r="AT14" s="1">
        <v>37.689186399999997</v>
      </c>
      <c r="AU14" s="1">
        <v>38.1725475</v>
      </c>
      <c r="AV14" s="1">
        <v>36.678282899999999</v>
      </c>
      <c r="AW14" s="1">
        <v>36.688599199999999</v>
      </c>
      <c r="AX14" s="1">
        <v>37.672282299999999</v>
      </c>
      <c r="CM14" s="1">
        <v>3</v>
      </c>
      <c r="CN14" s="1">
        <v>1</v>
      </c>
      <c r="CO14" s="1" t="s">
        <v>144</v>
      </c>
      <c r="CP14" s="1" t="s">
        <v>99</v>
      </c>
      <c r="CR14" s="1" t="s">
        <v>100</v>
      </c>
      <c r="CS14" s="1">
        <v>60.209480829999997</v>
      </c>
      <c r="CT14" s="1" t="s">
        <v>145</v>
      </c>
    </row>
    <row r="15" spans="1:98" x14ac:dyDescent="0.35">
      <c r="B15" s="1">
        <v>1</v>
      </c>
      <c r="C15" s="1">
        <v>1</v>
      </c>
      <c r="D15" s="1">
        <v>0</v>
      </c>
      <c r="E15" s="1" t="s">
        <v>115</v>
      </c>
      <c r="Q15" s="1">
        <v>0</v>
      </c>
      <c r="R15" s="1">
        <v>1</v>
      </c>
      <c r="S15" s="1">
        <v>1</v>
      </c>
      <c r="T15" s="1">
        <v>7</v>
      </c>
      <c r="AC15" s="1">
        <v>38.188985500000001</v>
      </c>
      <c r="AS15" s="1">
        <v>39.172531399999997</v>
      </c>
      <c r="AT15" s="1">
        <v>39.189349900000003</v>
      </c>
      <c r="AU15" s="1">
        <v>39.671866399999999</v>
      </c>
      <c r="AV15" s="1">
        <v>38.177546999999997</v>
      </c>
      <c r="AW15" s="1">
        <v>38.188985500000001</v>
      </c>
      <c r="AX15" s="1">
        <v>39.172449</v>
      </c>
      <c r="CM15" s="1">
        <v>3</v>
      </c>
      <c r="CN15" s="1">
        <v>1</v>
      </c>
      <c r="CO15" s="1" t="s">
        <v>144</v>
      </c>
      <c r="CP15" s="1" t="s">
        <v>99</v>
      </c>
      <c r="CR15" s="1" t="s">
        <v>100</v>
      </c>
      <c r="CS15" s="1">
        <v>60.209480829999997</v>
      </c>
      <c r="CT15" s="1" t="s">
        <v>145</v>
      </c>
    </row>
    <row r="16" spans="1:98" x14ac:dyDescent="0.35">
      <c r="B16" s="1">
        <v>2</v>
      </c>
      <c r="C16" s="1">
        <v>2</v>
      </c>
      <c r="D16" s="1">
        <v>0</v>
      </c>
      <c r="E16" s="1" t="s">
        <v>116</v>
      </c>
      <c r="Q16" s="1">
        <v>0</v>
      </c>
      <c r="R16" s="1">
        <v>2</v>
      </c>
      <c r="S16" s="1">
        <v>2</v>
      </c>
      <c r="T16" s="1">
        <v>0</v>
      </c>
      <c r="AC16" s="1">
        <v>39.688444400000002</v>
      </c>
      <c r="AS16" s="1">
        <v>40.672703200000001</v>
      </c>
      <c r="AT16" s="1">
        <v>40.6886516</v>
      </c>
      <c r="AU16" s="1">
        <v>41.172768599999998</v>
      </c>
      <c r="AV16" s="1">
        <v>39.673093700000003</v>
      </c>
      <c r="AW16" s="1">
        <v>39.688444400000002</v>
      </c>
      <c r="AX16" s="1">
        <v>40.672632700000001</v>
      </c>
      <c r="CM16" s="1">
        <v>3</v>
      </c>
      <c r="CN16" s="1">
        <v>1</v>
      </c>
      <c r="CO16" s="1" t="s">
        <v>144</v>
      </c>
      <c r="CP16" s="1" t="s">
        <v>99</v>
      </c>
      <c r="CR16" s="1" t="s">
        <v>100</v>
      </c>
      <c r="CS16" s="1">
        <v>60.209480829999997</v>
      </c>
      <c r="CT16" s="1" t="s">
        <v>145</v>
      </c>
    </row>
    <row r="17" spans="2:98" x14ac:dyDescent="0.35">
      <c r="B17" s="1">
        <v>3</v>
      </c>
      <c r="C17" s="1">
        <v>3</v>
      </c>
      <c r="D17" s="1">
        <v>0</v>
      </c>
      <c r="E17" s="1" t="s">
        <v>122</v>
      </c>
      <c r="Q17" s="1">
        <v>0</v>
      </c>
      <c r="R17" s="1">
        <v>3</v>
      </c>
      <c r="S17" s="1">
        <v>3</v>
      </c>
      <c r="T17" s="1">
        <v>8</v>
      </c>
      <c r="AC17" s="1">
        <v>41.188845399999998</v>
      </c>
      <c r="AS17" s="1">
        <v>42.172911200000001</v>
      </c>
      <c r="AT17" s="1">
        <v>42.1891739</v>
      </c>
      <c r="AU17" s="1">
        <v>42.672160499999997</v>
      </c>
      <c r="AV17" s="1">
        <v>41.177133599999998</v>
      </c>
      <c r="AW17" s="1">
        <v>41.188845399999998</v>
      </c>
      <c r="AX17" s="1">
        <v>42.172845100000004</v>
      </c>
      <c r="CM17" s="1">
        <v>3</v>
      </c>
      <c r="CN17" s="1">
        <v>1</v>
      </c>
      <c r="CO17" s="1" t="s">
        <v>144</v>
      </c>
      <c r="CP17" s="1" t="s">
        <v>99</v>
      </c>
      <c r="CR17" s="1" t="s">
        <v>100</v>
      </c>
      <c r="CS17" s="1">
        <v>60.209480829999997</v>
      </c>
      <c r="CT17" s="1" t="s">
        <v>145</v>
      </c>
    </row>
    <row r="18" spans="2:98" x14ac:dyDescent="0.35">
      <c r="B18" s="1">
        <v>4</v>
      </c>
      <c r="C18" s="1">
        <v>4</v>
      </c>
      <c r="D18" s="1">
        <v>0</v>
      </c>
      <c r="E18" s="1" t="s">
        <v>121</v>
      </c>
      <c r="Q18" s="1">
        <v>0</v>
      </c>
      <c r="R18" s="1">
        <v>4</v>
      </c>
      <c r="S18" s="1">
        <v>4</v>
      </c>
      <c r="T18" s="1">
        <v>3</v>
      </c>
      <c r="AC18" s="1">
        <v>42.689163999999998</v>
      </c>
      <c r="AS18" s="1">
        <v>43.672612299999997</v>
      </c>
      <c r="AT18" s="1">
        <v>43.688789900000003</v>
      </c>
      <c r="AU18" s="1">
        <v>44.172440899999998</v>
      </c>
      <c r="AV18" s="1">
        <v>42.675145100000002</v>
      </c>
      <c r="AW18" s="1">
        <v>42.689163999999998</v>
      </c>
      <c r="AX18" s="1">
        <v>43.672529699999998</v>
      </c>
      <c r="CM18" s="1">
        <v>3</v>
      </c>
      <c r="CN18" s="1">
        <v>1</v>
      </c>
      <c r="CO18" s="1" t="s">
        <v>144</v>
      </c>
      <c r="CP18" s="1" t="s">
        <v>99</v>
      </c>
      <c r="CR18" s="1" t="s">
        <v>100</v>
      </c>
      <c r="CS18" s="1">
        <v>60.209480829999997</v>
      </c>
      <c r="CT18" s="1" t="s">
        <v>145</v>
      </c>
    </row>
    <row r="19" spans="2:98" x14ac:dyDescent="0.35">
      <c r="B19" s="1">
        <v>5</v>
      </c>
      <c r="C19" s="1">
        <v>5</v>
      </c>
      <c r="D19" s="1">
        <v>0</v>
      </c>
      <c r="E19" s="1" t="s">
        <v>114</v>
      </c>
      <c r="Q19" s="1">
        <v>0</v>
      </c>
      <c r="R19" s="1">
        <v>5</v>
      </c>
      <c r="S19" s="1">
        <v>5</v>
      </c>
      <c r="T19" s="1">
        <v>5</v>
      </c>
      <c r="AC19" s="1">
        <v>44.188873800000003</v>
      </c>
      <c r="AS19" s="1">
        <v>45.172844699999999</v>
      </c>
      <c r="AT19" s="1">
        <v>45.189236100000002</v>
      </c>
      <c r="AU19" s="1">
        <v>45.672176399999998</v>
      </c>
      <c r="AV19" s="1">
        <v>44.177174299999997</v>
      </c>
      <c r="AW19" s="1">
        <v>44.188873800000003</v>
      </c>
      <c r="AX19" s="1">
        <v>45.172764200000003</v>
      </c>
      <c r="CM19" s="1">
        <v>3</v>
      </c>
      <c r="CN19" s="1">
        <v>1</v>
      </c>
      <c r="CO19" s="1" t="s">
        <v>144</v>
      </c>
      <c r="CP19" s="1" t="s">
        <v>99</v>
      </c>
      <c r="CR19" s="1" t="s">
        <v>100</v>
      </c>
      <c r="CS19" s="1">
        <v>60.209480829999997</v>
      </c>
      <c r="CT19" s="1" t="s">
        <v>145</v>
      </c>
    </row>
    <row r="20" spans="2:98" x14ac:dyDescent="0.35">
      <c r="B20" s="1">
        <v>6</v>
      </c>
      <c r="C20" s="1">
        <v>6</v>
      </c>
      <c r="D20" s="1">
        <v>0</v>
      </c>
      <c r="E20" s="1" t="s">
        <v>118</v>
      </c>
      <c r="Q20" s="1">
        <v>0</v>
      </c>
      <c r="R20" s="1">
        <v>6</v>
      </c>
      <c r="S20" s="1">
        <v>6</v>
      </c>
      <c r="T20" s="1">
        <v>6</v>
      </c>
      <c r="AC20" s="1">
        <v>45.688971199999997</v>
      </c>
      <c r="AS20" s="1">
        <v>46.672516999999999</v>
      </c>
      <c r="AT20" s="1">
        <v>46.688614200000004</v>
      </c>
      <c r="AU20" s="1">
        <v>47.172505000000001</v>
      </c>
      <c r="AV20" s="1">
        <v>45.6746379</v>
      </c>
      <c r="AW20" s="1">
        <v>45.688971199999997</v>
      </c>
      <c r="AX20" s="1">
        <v>46.672442099999998</v>
      </c>
      <c r="CM20" s="1">
        <v>3</v>
      </c>
      <c r="CN20" s="1">
        <v>1</v>
      </c>
      <c r="CO20" s="1" t="s">
        <v>144</v>
      </c>
      <c r="CP20" s="1" t="s">
        <v>99</v>
      </c>
      <c r="CR20" s="1" t="s">
        <v>100</v>
      </c>
      <c r="CS20" s="1">
        <v>60.209480829999997</v>
      </c>
      <c r="CT20" s="1" t="s">
        <v>145</v>
      </c>
    </row>
    <row r="21" spans="2:98" x14ac:dyDescent="0.35">
      <c r="B21" s="1">
        <v>7</v>
      </c>
      <c r="C21" s="1">
        <v>7</v>
      </c>
      <c r="D21" s="1">
        <v>0</v>
      </c>
      <c r="E21" s="1" t="s">
        <v>119</v>
      </c>
      <c r="Q21" s="1">
        <v>0</v>
      </c>
      <c r="R21" s="1">
        <v>7</v>
      </c>
      <c r="S21" s="1">
        <v>7</v>
      </c>
      <c r="T21" s="1">
        <v>9</v>
      </c>
      <c r="AC21" s="1">
        <v>47.188975300000003</v>
      </c>
      <c r="AS21" s="1">
        <v>48.172607800000002</v>
      </c>
      <c r="AT21" s="1">
        <v>48.188915700000003</v>
      </c>
      <c r="AU21" s="1">
        <v>48.672219200000001</v>
      </c>
      <c r="AV21" s="1">
        <v>47.175692499999997</v>
      </c>
      <c r="AW21" s="1">
        <v>47.188975300000003</v>
      </c>
      <c r="AX21" s="1">
        <v>48.1725469</v>
      </c>
      <c r="CM21" s="1">
        <v>3</v>
      </c>
      <c r="CN21" s="1">
        <v>1</v>
      </c>
      <c r="CO21" s="1" t="s">
        <v>144</v>
      </c>
      <c r="CP21" s="1" t="s">
        <v>99</v>
      </c>
      <c r="CR21" s="1" t="s">
        <v>100</v>
      </c>
      <c r="CS21" s="1">
        <v>60.209480829999997</v>
      </c>
      <c r="CT21" s="1" t="s">
        <v>145</v>
      </c>
    </row>
    <row r="22" spans="2:98" x14ac:dyDescent="0.35">
      <c r="B22" s="1">
        <v>8</v>
      </c>
      <c r="C22" s="1">
        <v>8</v>
      </c>
      <c r="D22" s="1">
        <v>0</v>
      </c>
      <c r="E22" s="1" t="s">
        <v>120</v>
      </c>
      <c r="Q22" s="1">
        <v>0</v>
      </c>
      <c r="R22" s="1">
        <v>8</v>
      </c>
      <c r="S22" s="1">
        <v>8</v>
      </c>
      <c r="T22" s="1">
        <v>4</v>
      </c>
      <c r="AC22" s="1">
        <v>48.688925599999997</v>
      </c>
      <c r="AS22" s="1">
        <v>49.672610499999998</v>
      </c>
      <c r="AT22" s="1">
        <v>49.688681799999998</v>
      </c>
      <c r="AU22" s="1">
        <v>50.172218200000003</v>
      </c>
      <c r="AV22" s="1">
        <v>48.674973199999997</v>
      </c>
      <c r="AW22" s="1">
        <v>48.688925599999997</v>
      </c>
      <c r="AX22" s="1">
        <v>49.672537900000002</v>
      </c>
      <c r="CM22" s="1">
        <v>3</v>
      </c>
      <c r="CN22" s="1">
        <v>1</v>
      </c>
      <c r="CO22" s="1" t="s">
        <v>144</v>
      </c>
      <c r="CP22" s="1" t="s">
        <v>99</v>
      </c>
      <c r="CR22" s="1" t="s">
        <v>100</v>
      </c>
      <c r="CS22" s="1">
        <v>60.209480829999997</v>
      </c>
      <c r="CT22" s="1" t="s">
        <v>145</v>
      </c>
    </row>
    <row r="23" spans="2:98" x14ac:dyDescent="0.35">
      <c r="B23" s="1">
        <v>9</v>
      </c>
      <c r="C23" s="1">
        <v>9</v>
      </c>
      <c r="D23" s="1">
        <v>0</v>
      </c>
      <c r="E23" s="1" t="s">
        <v>117</v>
      </c>
      <c r="Q23" s="1">
        <v>0</v>
      </c>
      <c r="R23" s="1">
        <v>9</v>
      </c>
      <c r="S23" s="1">
        <v>9</v>
      </c>
      <c r="T23" s="1">
        <v>1</v>
      </c>
      <c r="AC23" s="1">
        <v>50.188697400000002</v>
      </c>
      <c r="AS23" s="1">
        <v>51.172404800000002</v>
      </c>
      <c r="AT23" s="1">
        <v>51.188668999999997</v>
      </c>
      <c r="AU23" s="1">
        <v>51.671982499999999</v>
      </c>
      <c r="AV23" s="1">
        <v>50.176220399999998</v>
      </c>
      <c r="AW23" s="1">
        <v>50.188697400000002</v>
      </c>
      <c r="AX23" s="1">
        <v>51.172351399999997</v>
      </c>
      <c r="CM23" s="1">
        <v>3</v>
      </c>
      <c r="CN23" s="1">
        <v>1</v>
      </c>
      <c r="CO23" s="1" t="s">
        <v>144</v>
      </c>
      <c r="CP23" s="1" t="s">
        <v>99</v>
      </c>
      <c r="CR23" s="1" t="s">
        <v>100</v>
      </c>
      <c r="CS23" s="1">
        <v>60.209480829999997</v>
      </c>
      <c r="CT23" s="1" t="s">
        <v>145</v>
      </c>
    </row>
    <row r="24" spans="2:98" x14ac:dyDescent="0.35">
      <c r="B24" s="1">
        <v>0</v>
      </c>
      <c r="C24" s="1">
        <v>0</v>
      </c>
      <c r="D24" s="1">
        <v>0</v>
      </c>
      <c r="F24" s="1" t="s">
        <v>131</v>
      </c>
      <c r="U24" s="1">
        <v>0</v>
      </c>
      <c r="V24" s="1">
        <v>0</v>
      </c>
      <c r="W24" s="1">
        <v>0</v>
      </c>
      <c r="X24" s="1">
        <v>2</v>
      </c>
      <c r="AC24" s="1">
        <v>51.746950400000003</v>
      </c>
      <c r="AS24" s="1">
        <v>52.6721979</v>
      </c>
      <c r="AT24" s="1">
        <v>52.688480300000002</v>
      </c>
      <c r="AU24" s="1">
        <v>53.171821100000003</v>
      </c>
      <c r="AY24" s="1">
        <v>51.743755399999998</v>
      </c>
      <c r="AZ24" s="1">
        <v>51.746950400000003</v>
      </c>
      <c r="BA24" s="1">
        <v>52.672146099999999</v>
      </c>
      <c r="CM24" s="1">
        <v>3</v>
      </c>
      <c r="CN24" s="1">
        <v>1</v>
      </c>
      <c r="CO24" s="1" t="s">
        <v>144</v>
      </c>
      <c r="CP24" s="1" t="s">
        <v>99</v>
      </c>
      <c r="CR24" s="1" t="s">
        <v>100</v>
      </c>
      <c r="CS24" s="1">
        <v>60.209480829999997</v>
      </c>
      <c r="CT24" s="1" t="s">
        <v>145</v>
      </c>
    </row>
    <row r="25" spans="2:98" x14ac:dyDescent="0.35">
      <c r="B25" s="1">
        <v>1</v>
      </c>
      <c r="C25" s="1">
        <v>1</v>
      </c>
      <c r="D25" s="1">
        <v>0</v>
      </c>
      <c r="F25" s="1" t="s">
        <v>124</v>
      </c>
      <c r="U25" s="1">
        <v>0</v>
      </c>
      <c r="V25" s="1">
        <v>1</v>
      </c>
      <c r="W25" s="1">
        <v>1</v>
      </c>
      <c r="X25" s="1">
        <v>7</v>
      </c>
      <c r="AC25" s="1">
        <v>53.1887896</v>
      </c>
      <c r="AS25" s="1">
        <v>54.1723894</v>
      </c>
      <c r="AT25" s="1">
        <v>54.189071300000002</v>
      </c>
      <c r="AU25" s="1">
        <v>54.671705699999997</v>
      </c>
      <c r="AY25" s="1">
        <v>53.1737362</v>
      </c>
      <c r="AZ25" s="1">
        <v>53.1887896</v>
      </c>
      <c r="BA25" s="1">
        <v>54.172319199999997</v>
      </c>
      <c r="CM25" s="1">
        <v>3</v>
      </c>
      <c r="CN25" s="1">
        <v>1</v>
      </c>
      <c r="CO25" s="1" t="s">
        <v>144</v>
      </c>
      <c r="CP25" s="1" t="s">
        <v>99</v>
      </c>
      <c r="CR25" s="1" t="s">
        <v>100</v>
      </c>
      <c r="CS25" s="1">
        <v>60.209480829999997</v>
      </c>
      <c r="CT25" s="1" t="s">
        <v>145</v>
      </c>
    </row>
    <row r="26" spans="2:98" x14ac:dyDescent="0.35">
      <c r="B26" s="1">
        <v>2</v>
      </c>
      <c r="C26" s="1">
        <v>2</v>
      </c>
      <c r="D26" s="1">
        <v>0</v>
      </c>
      <c r="F26" s="1" t="s">
        <v>125</v>
      </c>
      <c r="U26" s="1">
        <v>0</v>
      </c>
      <c r="V26" s="1">
        <v>2</v>
      </c>
      <c r="W26" s="1">
        <v>2</v>
      </c>
      <c r="X26" s="1">
        <v>8</v>
      </c>
      <c r="AC26" s="1">
        <v>54.688936499999997</v>
      </c>
      <c r="AS26" s="1">
        <v>55.671950000000002</v>
      </c>
      <c r="AT26" s="1">
        <v>55.6885598</v>
      </c>
      <c r="AU26" s="1">
        <v>56.172776399999996</v>
      </c>
      <c r="AY26" s="1">
        <v>54.673466500000004</v>
      </c>
      <c r="AZ26" s="1">
        <v>54.688936499999997</v>
      </c>
      <c r="BA26" s="1">
        <v>55.671914600000001</v>
      </c>
      <c r="CM26" s="1">
        <v>3</v>
      </c>
      <c r="CN26" s="1">
        <v>1</v>
      </c>
      <c r="CO26" s="1" t="s">
        <v>144</v>
      </c>
      <c r="CP26" s="1" t="s">
        <v>99</v>
      </c>
      <c r="CR26" s="1" t="s">
        <v>100</v>
      </c>
      <c r="CS26" s="1">
        <v>60.209480829999997</v>
      </c>
      <c r="CT26" s="1" t="s">
        <v>145</v>
      </c>
    </row>
    <row r="27" spans="2:98" x14ac:dyDescent="0.35">
      <c r="B27" s="1">
        <v>3</v>
      </c>
      <c r="C27" s="1">
        <v>3</v>
      </c>
      <c r="D27" s="1">
        <v>0</v>
      </c>
      <c r="F27" s="1" t="s">
        <v>129</v>
      </c>
      <c r="U27" s="1">
        <v>0</v>
      </c>
      <c r="V27" s="1">
        <v>3</v>
      </c>
      <c r="W27" s="1">
        <v>3</v>
      </c>
      <c r="X27" s="1">
        <v>0</v>
      </c>
      <c r="AC27" s="1">
        <v>56.188991399999999</v>
      </c>
      <c r="AS27" s="1">
        <v>57.172583600000003</v>
      </c>
      <c r="AT27" s="1">
        <v>57.189064600000002</v>
      </c>
      <c r="AU27" s="1">
        <v>57.6717127</v>
      </c>
      <c r="AY27" s="1">
        <v>56.177118700000001</v>
      </c>
      <c r="AZ27" s="1">
        <v>56.188991399999999</v>
      </c>
      <c r="BA27" s="1">
        <v>57.172511900000003</v>
      </c>
      <c r="CM27" s="1">
        <v>3</v>
      </c>
      <c r="CN27" s="1">
        <v>1</v>
      </c>
      <c r="CO27" s="1" t="s">
        <v>144</v>
      </c>
      <c r="CP27" s="1" t="s">
        <v>99</v>
      </c>
      <c r="CR27" s="1" t="s">
        <v>100</v>
      </c>
      <c r="CS27" s="1">
        <v>60.209480829999997</v>
      </c>
      <c r="CT27" s="1" t="s">
        <v>145</v>
      </c>
    </row>
    <row r="28" spans="2:98" x14ac:dyDescent="0.35">
      <c r="B28" s="1">
        <v>4</v>
      </c>
      <c r="C28" s="1">
        <v>4</v>
      </c>
      <c r="D28" s="1">
        <v>0</v>
      </c>
      <c r="F28" s="1" t="s">
        <v>133</v>
      </c>
      <c r="U28" s="1">
        <v>0</v>
      </c>
      <c r="V28" s="1">
        <v>4</v>
      </c>
      <c r="W28" s="1">
        <v>4</v>
      </c>
      <c r="X28" s="1">
        <v>1</v>
      </c>
      <c r="AC28" s="1">
        <v>57.688738100000002</v>
      </c>
      <c r="AS28" s="1">
        <v>58.672596499999997</v>
      </c>
      <c r="AT28" s="1">
        <v>58.688516</v>
      </c>
      <c r="AU28" s="1">
        <v>59.172472300000003</v>
      </c>
      <c r="AY28" s="1">
        <v>57.673305499999998</v>
      </c>
      <c r="AZ28" s="1">
        <v>57.688738100000002</v>
      </c>
      <c r="BA28" s="1">
        <v>58.672537499999997</v>
      </c>
      <c r="CM28" s="1">
        <v>3</v>
      </c>
      <c r="CN28" s="1">
        <v>1</v>
      </c>
      <c r="CO28" s="1" t="s">
        <v>144</v>
      </c>
      <c r="CP28" s="1" t="s">
        <v>99</v>
      </c>
      <c r="CR28" s="1" t="s">
        <v>100</v>
      </c>
      <c r="CS28" s="1">
        <v>60.209480829999997</v>
      </c>
      <c r="CT28" s="1" t="s">
        <v>145</v>
      </c>
    </row>
    <row r="29" spans="2:98" x14ac:dyDescent="0.35">
      <c r="B29" s="1">
        <v>5</v>
      </c>
      <c r="C29" s="1">
        <v>5</v>
      </c>
      <c r="D29" s="1">
        <v>0</v>
      </c>
      <c r="F29" s="1" t="s">
        <v>126</v>
      </c>
      <c r="U29" s="1">
        <v>0</v>
      </c>
      <c r="V29" s="1">
        <v>5</v>
      </c>
      <c r="W29" s="1">
        <v>5</v>
      </c>
      <c r="X29" s="1">
        <v>4</v>
      </c>
      <c r="AC29" s="1">
        <v>59.1890158</v>
      </c>
      <c r="AS29" s="1">
        <v>60.172729599999997</v>
      </c>
      <c r="AT29" s="1">
        <v>60.189170799999999</v>
      </c>
      <c r="AU29" s="1">
        <v>60.672721299999999</v>
      </c>
      <c r="AY29" s="1">
        <v>59.176968700000003</v>
      </c>
      <c r="AZ29" s="1">
        <v>59.1890158</v>
      </c>
      <c r="BA29" s="1">
        <v>60.172658699999999</v>
      </c>
      <c r="CM29" s="1">
        <v>3</v>
      </c>
      <c r="CN29" s="1">
        <v>1</v>
      </c>
      <c r="CO29" s="1" t="s">
        <v>144</v>
      </c>
      <c r="CP29" s="1" t="s">
        <v>99</v>
      </c>
      <c r="CR29" s="1" t="s">
        <v>100</v>
      </c>
      <c r="CS29" s="1">
        <v>60.209480829999997</v>
      </c>
      <c r="CT29" s="1" t="s">
        <v>145</v>
      </c>
    </row>
    <row r="30" spans="2:98" x14ac:dyDescent="0.35">
      <c r="B30" s="1">
        <v>6</v>
      </c>
      <c r="C30" s="1">
        <v>6</v>
      </c>
      <c r="D30" s="1">
        <v>0</v>
      </c>
      <c r="F30" s="1" t="s">
        <v>127</v>
      </c>
      <c r="U30" s="1">
        <v>0</v>
      </c>
      <c r="V30" s="1">
        <v>6</v>
      </c>
      <c r="W30" s="1">
        <v>6</v>
      </c>
      <c r="X30" s="1">
        <v>5</v>
      </c>
      <c r="AC30" s="1">
        <v>60.688929299999998</v>
      </c>
      <c r="AS30" s="1">
        <v>61.6721322</v>
      </c>
      <c r="AT30" s="1">
        <v>61.688725099999999</v>
      </c>
      <c r="AU30" s="1">
        <v>62.172540699999999</v>
      </c>
      <c r="AY30" s="1">
        <v>60.676324100000002</v>
      </c>
      <c r="AZ30" s="1">
        <v>60.688929299999998</v>
      </c>
      <c r="BA30" s="1">
        <v>61.672078800000001</v>
      </c>
      <c r="CM30" s="1">
        <v>3</v>
      </c>
      <c r="CN30" s="1">
        <v>1</v>
      </c>
      <c r="CO30" s="1" t="s">
        <v>144</v>
      </c>
      <c r="CP30" s="1" t="s">
        <v>99</v>
      </c>
      <c r="CR30" s="1" t="s">
        <v>100</v>
      </c>
      <c r="CS30" s="1">
        <v>60.209480829999997</v>
      </c>
      <c r="CT30" s="1" t="s">
        <v>145</v>
      </c>
    </row>
    <row r="31" spans="2:98" x14ac:dyDescent="0.35">
      <c r="B31" s="1">
        <v>7</v>
      </c>
      <c r="C31" s="1">
        <v>7</v>
      </c>
      <c r="D31" s="1">
        <v>0</v>
      </c>
      <c r="F31" s="1" t="s">
        <v>132</v>
      </c>
      <c r="U31" s="1">
        <v>0</v>
      </c>
      <c r="V31" s="1">
        <v>7</v>
      </c>
      <c r="W31" s="1">
        <v>7</v>
      </c>
      <c r="X31" s="1">
        <v>9</v>
      </c>
      <c r="AC31" s="1">
        <v>62.189061799999998</v>
      </c>
      <c r="AS31" s="1">
        <v>63.172624399999997</v>
      </c>
      <c r="AT31" s="1">
        <v>63.188643399999997</v>
      </c>
      <c r="AU31" s="1">
        <v>63.672351499999998</v>
      </c>
      <c r="AY31" s="1">
        <v>62.176896999999997</v>
      </c>
      <c r="AZ31" s="1">
        <v>62.189061799999998</v>
      </c>
      <c r="BA31" s="1">
        <v>63.172557500000003</v>
      </c>
      <c r="CM31" s="1">
        <v>3</v>
      </c>
      <c r="CN31" s="1">
        <v>1</v>
      </c>
      <c r="CO31" s="1" t="s">
        <v>144</v>
      </c>
      <c r="CP31" s="1" t="s">
        <v>99</v>
      </c>
      <c r="CR31" s="1" t="s">
        <v>100</v>
      </c>
      <c r="CS31" s="1">
        <v>60.209480829999997</v>
      </c>
      <c r="CT31" s="1" t="s">
        <v>145</v>
      </c>
    </row>
    <row r="32" spans="2:98" x14ac:dyDescent="0.35">
      <c r="B32" s="1">
        <v>8</v>
      </c>
      <c r="C32" s="1">
        <v>8</v>
      </c>
      <c r="D32" s="1">
        <v>0</v>
      </c>
      <c r="F32" s="1" t="s">
        <v>130</v>
      </c>
      <c r="U32" s="1">
        <v>0</v>
      </c>
      <c r="V32" s="1">
        <v>8</v>
      </c>
      <c r="W32" s="1">
        <v>8</v>
      </c>
      <c r="X32" s="1">
        <v>3</v>
      </c>
      <c r="AC32" s="1">
        <v>63.688506500000003</v>
      </c>
      <c r="AS32" s="1">
        <v>64.672269299999996</v>
      </c>
      <c r="AT32" s="1">
        <v>64.6885312</v>
      </c>
      <c r="AU32" s="1">
        <v>65.172221500000006</v>
      </c>
      <c r="AY32" s="1">
        <v>63.676655799999999</v>
      </c>
      <c r="AZ32" s="1">
        <v>63.688506500000003</v>
      </c>
      <c r="BA32" s="1">
        <v>64.672219499999997</v>
      </c>
      <c r="CM32" s="1">
        <v>3</v>
      </c>
      <c r="CN32" s="1">
        <v>1</v>
      </c>
      <c r="CO32" s="1" t="s">
        <v>144</v>
      </c>
      <c r="CP32" s="1" t="s">
        <v>99</v>
      </c>
      <c r="CR32" s="1" t="s">
        <v>100</v>
      </c>
      <c r="CS32" s="1">
        <v>60.209480829999997</v>
      </c>
      <c r="CT32" s="1" t="s">
        <v>145</v>
      </c>
    </row>
    <row r="33" spans="2:98" x14ac:dyDescent="0.35">
      <c r="B33" s="1">
        <v>9</v>
      </c>
      <c r="C33" s="1">
        <v>9</v>
      </c>
      <c r="D33" s="1">
        <v>0</v>
      </c>
      <c r="F33" s="1" t="s">
        <v>128</v>
      </c>
      <c r="U33" s="1">
        <v>0</v>
      </c>
      <c r="V33" s="1">
        <v>9</v>
      </c>
      <c r="W33" s="1">
        <v>9</v>
      </c>
      <c r="X33" s="1">
        <v>6</v>
      </c>
      <c r="AC33" s="1">
        <v>65.188873099999995</v>
      </c>
      <c r="AS33" s="1">
        <v>66.172768399999995</v>
      </c>
      <c r="AT33" s="1">
        <v>66.188917099999998</v>
      </c>
      <c r="AU33" s="1">
        <v>66.672207499999999</v>
      </c>
      <c r="AY33" s="1">
        <v>65.175779300000002</v>
      </c>
      <c r="AZ33" s="1">
        <v>65.188873099999995</v>
      </c>
      <c r="BA33" s="1">
        <v>66.172675400000003</v>
      </c>
      <c r="CM33" s="1">
        <v>3</v>
      </c>
      <c r="CN33" s="1">
        <v>1</v>
      </c>
      <c r="CO33" s="1" t="s">
        <v>144</v>
      </c>
      <c r="CP33" s="1" t="s">
        <v>99</v>
      </c>
      <c r="CR33" s="1" t="s">
        <v>100</v>
      </c>
      <c r="CS33" s="1">
        <v>60.209480829999997</v>
      </c>
      <c r="CT33" s="1" t="s">
        <v>145</v>
      </c>
    </row>
    <row r="34" spans="2:98" x14ac:dyDescent="0.35">
      <c r="BB34" s="1">
        <v>66.672338400000001</v>
      </c>
      <c r="BC34" s="1">
        <v>66.688667300000006</v>
      </c>
      <c r="BD34" s="1">
        <v>66.688667300000006</v>
      </c>
      <c r="BE34" s="1">
        <v>70.372738699999999</v>
      </c>
      <c r="BF34" s="1" t="s">
        <v>102</v>
      </c>
      <c r="BG34" s="1">
        <v>3.6730227000000002</v>
      </c>
      <c r="BH34" s="1" t="s">
        <v>103</v>
      </c>
      <c r="CM34" s="1">
        <v>3</v>
      </c>
      <c r="CN34" s="1">
        <v>1</v>
      </c>
      <c r="CO34" s="1" t="s">
        <v>144</v>
      </c>
      <c r="CP34" s="1" t="s">
        <v>99</v>
      </c>
      <c r="CR34" s="1" t="s">
        <v>100</v>
      </c>
      <c r="CS34" s="1">
        <v>60.209480829999997</v>
      </c>
      <c r="CT34" s="1" t="s">
        <v>145</v>
      </c>
    </row>
    <row r="35" spans="2:98" x14ac:dyDescent="0.35">
      <c r="BI35" s="1">
        <v>70.372815099999997</v>
      </c>
      <c r="BJ35" s="1">
        <v>70.388714199999995</v>
      </c>
      <c r="BK35" s="1">
        <v>70.388714199999995</v>
      </c>
      <c r="BL35" s="1">
        <v>81.805511300000006</v>
      </c>
      <c r="BM35" s="1">
        <v>3</v>
      </c>
      <c r="BN35" s="1">
        <v>11.402466799999999</v>
      </c>
      <c r="BO35" s="1" t="s">
        <v>103</v>
      </c>
      <c r="CM35" s="1">
        <v>3</v>
      </c>
      <c r="CN35" s="1">
        <v>1</v>
      </c>
      <c r="CO35" s="1" t="s">
        <v>144</v>
      </c>
      <c r="CP35" s="1" t="s">
        <v>99</v>
      </c>
      <c r="CR35" s="1" t="s">
        <v>100</v>
      </c>
      <c r="CS35" s="1">
        <v>60.209480829999997</v>
      </c>
      <c r="CT35" s="1" t="s">
        <v>145</v>
      </c>
    </row>
    <row r="36" spans="2:98" x14ac:dyDescent="0.35">
      <c r="BP36" s="1">
        <v>81.805589499999996</v>
      </c>
      <c r="BQ36" s="1">
        <v>81.822188100000005</v>
      </c>
      <c r="BR36" s="1">
        <v>81.822188100000005</v>
      </c>
      <c r="BS36" s="1">
        <v>85.405858699999996</v>
      </c>
      <c r="BT36" s="1" t="s">
        <v>102</v>
      </c>
      <c r="BU36" s="1">
        <v>3.5829692</v>
      </c>
      <c r="BV36" s="1" t="s">
        <v>103</v>
      </c>
      <c r="CM36" s="1">
        <v>3</v>
      </c>
      <c r="CN36" s="1">
        <v>1</v>
      </c>
      <c r="CO36" s="1" t="s">
        <v>144</v>
      </c>
      <c r="CP36" s="1" t="s">
        <v>99</v>
      </c>
      <c r="CR36" s="1" t="s">
        <v>100</v>
      </c>
      <c r="CS36" s="1">
        <v>60.209480829999997</v>
      </c>
      <c r="CT36" s="1" t="s">
        <v>145</v>
      </c>
    </row>
    <row r="37" spans="2:98" x14ac:dyDescent="0.35">
      <c r="B37" s="1">
        <v>0</v>
      </c>
      <c r="C37" s="1">
        <v>0</v>
      </c>
      <c r="D37" s="1">
        <v>0</v>
      </c>
      <c r="G37" s="1" t="s">
        <v>138</v>
      </c>
      <c r="H37" s="1" t="s">
        <v>136</v>
      </c>
      <c r="I37" s="1" t="s">
        <v>134</v>
      </c>
      <c r="J37" s="1">
        <v>0</v>
      </c>
      <c r="K37" s="1">
        <v>3.6601830999999998</v>
      </c>
      <c r="L37" s="1" t="s">
        <v>103</v>
      </c>
      <c r="Y37" s="1">
        <v>0</v>
      </c>
      <c r="Z37" s="1">
        <v>0</v>
      </c>
      <c r="AA37" s="1">
        <v>0</v>
      </c>
      <c r="AB37" s="1">
        <v>0</v>
      </c>
      <c r="AC37" s="1">
        <v>85.421340700000002</v>
      </c>
      <c r="AS37" s="1">
        <v>89.089269099999996</v>
      </c>
      <c r="AT37" s="1">
        <v>89.104959699999995</v>
      </c>
      <c r="AU37" s="1">
        <v>89.588779000000002</v>
      </c>
      <c r="BW37" s="1">
        <v>85.417919499999996</v>
      </c>
      <c r="BX37" s="1">
        <v>85.421340700000002</v>
      </c>
      <c r="BY37" s="1">
        <v>85.421340700000002</v>
      </c>
      <c r="BZ37" s="1">
        <v>89.089153600000003</v>
      </c>
      <c r="CA37" s="1" t="s">
        <v>134</v>
      </c>
      <c r="CB37" s="1">
        <v>0</v>
      </c>
      <c r="CC37" s="1">
        <v>3.6601830999999998</v>
      </c>
      <c r="CD37" s="1" t="s">
        <v>103</v>
      </c>
      <c r="CE37" s="1">
        <v>89.605143999999996</v>
      </c>
      <c r="CM37" s="1">
        <v>3</v>
      </c>
      <c r="CN37" s="1">
        <v>1</v>
      </c>
      <c r="CO37" s="1" t="s">
        <v>144</v>
      </c>
      <c r="CP37" s="1" t="s">
        <v>99</v>
      </c>
      <c r="CR37" s="1" t="s">
        <v>100</v>
      </c>
      <c r="CS37" s="1">
        <v>60.209480829999997</v>
      </c>
      <c r="CT37" s="1" t="s">
        <v>145</v>
      </c>
    </row>
    <row r="38" spans="2:98" x14ac:dyDescent="0.35">
      <c r="B38" s="1">
        <v>1</v>
      </c>
      <c r="C38" s="1">
        <v>1</v>
      </c>
      <c r="D38" s="1">
        <v>0</v>
      </c>
      <c r="G38" s="1" t="s">
        <v>130</v>
      </c>
      <c r="H38" s="1" t="s">
        <v>134</v>
      </c>
      <c r="I38" s="1" t="s">
        <v>134</v>
      </c>
      <c r="J38" s="1">
        <v>1</v>
      </c>
      <c r="K38" s="1">
        <v>0.68966919999999998</v>
      </c>
      <c r="L38" s="1" t="s">
        <v>103</v>
      </c>
      <c r="Y38" s="1">
        <v>0</v>
      </c>
      <c r="Z38" s="1">
        <v>1</v>
      </c>
      <c r="AA38" s="1">
        <v>1</v>
      </c>
      <c r="AB38" s="1">
        <v>6</v>
      </c>
      <c r="AC38" s="1">
        <v>89.605143999999996</v>
      </c>
      <c r="AS38" s="1">
        <v>90.305908099999996</v>
      </c>
      <c r="AT38" s="1">
        <v>90.321907600000003</v>
      </c>
      <c r="AU38" s="1">
        <v>90.805490899999995</v>
      </c>
      <c r="BW38" s="1">
        <v>89.594649700000005</v>
      </c>
      <c r="BX38" s="1">
        <v>89.605143999999996</v>
      </c>
      <c r="BY38" s="1">
        <v>89.605143999999996</v>
      </c>
      <c r="BZ38" s="1">
        <v>90.3057838</v>
      </c>
      <c r="CA38" s="1" t="s">
        <v>134</v>
      </c>
      <c r="CB38" s="1">
        <v>1</v>
      </c>
      <c r="CC38" s="1">
        <v>0.68966919999999998</v>
      </c>
      <c r="CD38" s="1" t="s">
        <v>103</v>
      </c>
      <c r="CE38" s="1">
        <v>90.821726999999996</v>
      </c>
      <c r="CM38" s="1">
        <v>3</v>
      </c>
      <c r="CN38" s="1">
        <v>1</v>
      </c>
      <c r="CO38" s="1" t="s">
        <v>144</v>
      </c>
      <c r="CP38" s="1" t="s">
        <v>99</v>
      </c>
      <c r="CR38" s="1" t="s">
        <v>100</v>
      </c>
      <c r="CS38" s="1">
        <v>60.209480829999997</v>
      </c>
      <c r="CT38" s="1" t="s">
        <v>145</v>
      </c>
    </row>
    <row r="39" spans="2:98" x14ac:dyDescent="0.35">
      <c r="B39" s="1">
        <v>2</v>
      </c>
      <c r="C39" s="1">
        <v>2</v>
      </c>
      <c r="D39" s="1">
        <v>0</v>
      </c>
      <c r="G39" s="1" t="s">
        <v>106</v>
      </c>
      <c r="H39" s="1" t="s">
        <v>134</v>
      </c>
      <c r="I39" s="1" t="s">
        <v>134</v>
      </c>
      <c r="J39" s="1">
        <v>1</v>
      </c>
      <c r="K39" s="1">
        <v>0.55486199999999997</v>
      </c>
      <c r="L39" s="1" t="s">
        <v>103</v>
      </c>
      <c r="Y39" s="1">
        <v>0</v>
      </c>
      <c r="Z39" s="1">
        <v>2</v>
      </c>
      <c r="AA39" s="1">
        <v>2</v>
      </c>
      <c r="AB39" s="1">
        <v>3</v>
      </c>
      <c r="AC39" s="1">
        <v>90.821726999999996</v>
      </c>
      <c r="AS39" s="1">
        <v>91.389167700000002</v>
      </c>
      <c r="AT39" s="1">
        <v>91.404929199999998</v>
      </c>
      <c r="AU39" s="1">
        <v>91.888731300000003</v>
      </c>
      <c r="BW39" s="1">
        <v>90.809551499999998</v>
      </c>
      <c r="BX39" s="1">
        <v>90.821726999999996</v>
      </c>
      <c r="BY39" s="1">
        <v>90.821726999999996</v>
      </c>
      <c r="BZ39" s="1">
        <v>91.389020400000007</v>
      </c>
      <c r="CA39" s="1" t="s">
        <v>134</v>
      </c>
      <c r="CB39" s="1">
        <v>1</v>
      </c>
      <c r="CC39" s="1">
        <v>0.55486199999999997</v>
      </c>
      <c r="CD39" s="1" t="s">
        <v>103</v>
      </c>
      <c r="CE39" s="1">
        <v>91.904685700000002</v>
      </c>
      <c r="CM39" s="1">
        <v>3</v>
      </c>
      <c r="CN39" s="1">
        <v>1</v>
      </c>
      <c r="CO39" s="1" t="s">
        <v>144</v>
      </c>
      <c r="CP39" s="1" t="s">
        <v>99</v>
      </c>
      <c r="CR39" s="1" t="s">
        <v>100</v>
      </c>
      <c r="CS39" s="1">
        <v>60.209480829999997</v>
      </c>
      <c r="CT39" s="1" t="s">
        <v>145</v>
      </c>
    </row>
    <row r="40" spans="2:98" x14ac:dyDescent="0.35">
      <c r="B40" s="1">
        <v>3</v>
      </c>
      <c r="C40" s="1">
        <v>3</v>
      </c>
      <c r="D40" s="1">
        <v>0</v>
      </c>
      <c r="G40" s="1" t="s">
        <v>140</v>
      </c>
      <c r="H40" s="1" t="s">
        <v>136</v>
      </c>
      <c r="I40" s="1" t="s">
        <v>134</v>
      </c>
      <c r="J40" s="1">
        <v>0</v>
      </c>
      <c r="K40" s="1">
        <v>0.66307090000000002</v>
      </c>
      <c r="L40" s="1" t="s">
        <v>103</v>
      </c>
      <c r="Y40" s="1">
        <v>0</v>
      </c>
      <c r="Z40" s="1">
        <v>3</v>
      </c>
      <c r="AA40" s="1">
        <v>3</v>
      </c>
      <c r="AB40" s="1">
        <v>2</v>
      </c>
      <c r="AC40" s="1">
        <v>91.904685700000002</v>
      </c>
      <c r="AS40" s="1">
        <v>92.571911400000005</v>
      </c>
      <c r="AT40" s="1">
        <v>92.587892100000005</v>
      </c>
      <c r="AU40" s="1">
        <v>93.071551499999998</v>
      </c>
      <c r="BW40" s="1">
        <v>91.893163700000002</v>
      </c>
      <c r="BX40" s="1">
        <v>91.904685700000002</v>
      </c>
      <c r="BY40" s="1">
        <v>91.904685700000002</v>
      </c>
      <c r="BZ40" s="1">
        <v>92.571814799999999</v>
      </c>
      <c r="CA40" s="1" t="s">
        <v>134</v>
      </c>
      <c r="CB40" s="1">
        <v>0</v>
      </c>
      <c r="CC40" s="1">
        <v>0.66307090000000002</v>
      </c>
      <c r="CD40" s="1" t="s">
        <v>103</v>
      </c>
      <c r="CE40" s="1">
        <v>93.088441799999998</v>
      </c>
      <c r="CM40" s="1">
        <v>3</v>
      </c>
      <c r="CN40" s="1">
        <v>1</v>
      </c>
      <c r="CO40" s="1" t="s">
        <v>144</v>
      </c>
      <c r="CP40" s="1" t="s">
        <v>99</v>
      </c>
      <c r="CR40" s="1" t="s">
        <v>100</v>
      </c>
      <c r="CS40" s="1">
        <v>60.209480829999997</v>
      </c>
      <c r="CT40" s="1" t="s">
        <v>145</v>
      </c>
    </row>
    <row r="41" spans="2:98" x14ac:dyDescent="0.35">
      <c r="B41" s="1">
        <v>4</v>
      </c>
      <c r="C41" s="1">
        <v>4</v>
      </c>
      <c r="D41" s="1">
        <v>0</v>
      </c>
      <c r="G41" s="1" t="s">
        <v>129</v>
      </c>
      <c r="H41" s="1" t="s">
        <v>134</v>
      </c>
      <c r="I41" s="1" t="s">
        <v>134</v>
      </c>
      <c r="J41" s="1">
        <v>1</v>
      </c>
      <c r="K41" s="1">
        <v>0.55390830000000002</v>
      </c>
      <c r="L41" s="1" t="s">
        <v>103</v>
      </c>
      <c r="Y41" s="1">
        <v>0</v>
      </c>
      <c r="Z41" s="1">
        <v>4</v>
      </c>
      <c r="AA41" s="1">
        <v>4</v>
      </c>
      <c r="AB41" s="1">
        <v>5</v>
      </c>
      <c r="AC41" s="1">
        <v>93.088441799999998</v>
      </c>
      <c r="AS41" s="1">
        <v>93.655911500000002</v>
      </c>
      <c r="AT41" s="1">
        <v>93.671299300000001</v>
      </c>
      <c r="AU41" s="1">
        <v>94.154954799999999</v>
      </c>
      <c r="BW41" s="1">
        <v>93.074570399999999</v>
      </c>
      <c r="BX41" s="1">
        <v>93.088441799999998</v>
      </c>
      <c r="BY41" s="1">
        <v>93.088441799999998</v>
      </c>
      <c r="BZ41" s="1">
        <v>93.655764099999999</v>
      </c>
      <c r="CA41" s="1" t="s">
        <v>134</v>
      </c>
      <c r="CB41" s="1">
        <v>1</v>
      </c>
      <c r="CC41" s="1">
        <v>0.55390830000000002</v>
      </c>
      <c r="CD41" s="1" t="s">
        <v>103</v>
      </c>
      <c r="CE41" s="1">
        <v>94.171328599999995</v>
      </c>
      <c r="CM41" s="1">
        <v>3</v>
      </c>
      <c r="CN41" s="1">
        <v>1</v>
      </c>
      <c r="CO41" s="1" t="s">
        <v>144</v>
      </c>
      <c r="CP41" s="1" t="s">
        <v>99</v>
      </c>
      <c r="CR41" s="1" t="s">
        <v>100</v>
      </c>
      <c r="CS41" s="1">
        <v>60.209480829999997</v>
      </c>
      <c r="CT41" s="1" t="s">
        <v>145</v>
      </c>
    </row>
    <row r="42" spans="2:98" x14ac:dyDescent="0.35">
      <c r="B42" s="1">
        <v>5</v>
      </c>
      <c r="C42" s="1">
        <v>5</v>
      </c>
      <c r="D42" s="1">
        <v>0</v>
      </c>
      <c r="G42" s="1" t="s">
        <v>135</v>
      </c>
      <c r="H42" s="1" t="s">
        <v>136</v>
      </c>
      <c r="I42" s="1" t="s">
        <v>136</v>
      </c>
      <c r="J42" s="1">
        <v>1</v>
      </c>
      <c r="K42" s="1">
        <v>1.1477903</v>
      </c>
      <c r="L42" s="1" t="s">
        <v>103</v>
      </c>
      <c r="Y42" s="1">
        <v>0</v>
      </c>
      <c r="Z42" s="1">
        <v>5</v>
      </c>
      <c r="AA42" s="1">
        <v>5</v>
      </c>
      <c r="AB42" s="1">
        <v>8</v>
      </c>
      <c r="AC42" s="1">
        <v>94.171328599999995</v>
      </c>
      <c r="AS42" s="1">
        <v>95.322265099999996</v>
      </c>
      <c r="AT42" s="1">
        <v>95.338981099999998</v>
      </c>
      <c r="AU42" s="1">
        <v>95.821710499999995</v>
      </c>
      <c r="BW42" s="1">
        <v>94.158403000000007</v>
      </c>
      <c r="BX42" s="1">
        <v>94.171328599999995</v>
      </c>
      <c r="BY42" s="1">
        <v>94.171328599999995</v>
      </c>
      <c r="BZ42" s="1">
        <v>95.322152299999999</v>
      </c>
      <c r="CA42" s="1" t="s">
        <v>136</v>
      </c>
      <c r="CB42" s="1">
        <v>1</v>
      </c>
      <c r="CC42" s="1">
        <v>1.1477903</v>
      </c>
      <c r="CD42" s="1" t="s">
        <v>103</v>
      </c>
      <c r="CE42" s="1">
        <v>95.838110900000004</v>
      </c>
      <c r="CM42" s="1">
        <v>3</v>
      </c>
      <c r="CN42" s="1">
        <v>1</v>
      </c>
      <c r="CO42" s="1" t="s">
        <v>144</v>
      </c>
      <c r="CP42" s="1" t="s">
        <v>99</v>
      </c>
      <c r="CR42" s="1" t="s">
        <v>100</v>
      </c>
      <c r="CS42" s="1">
        <v>60.209480829999997</v>
      </c>
      <c r="CT42" s="1" t="s">
        <v>145</v>
      </c>
    </row>
    <row r="43" spans="2:98" x14ac:dyDescent="0.35">
      <c r="B43" s="1">
        <v>6</v>
      </c>
      <c r="C43" s="1">
        <v>6</v>
      </c>
      <c r="D43" s="1">
        <v>0</v>
      </c>
      <c r="G43" s="1" t="s">
        <v>141</v>
      </c>
      <c r="H43" s="1" t="s">
        <v>136</v>
      </c>
      <c r="I43" s="1" t="s">
        <v>134</v>
      </c>
      <c r="J43" s="1">
        <v>0</v>
      </c>
      <c r="K43" s="1">
        <v>0.73723380000000005</v>
      </c>
      <c r="L43" s="1" t="s">
        <v>103</v>
      </c>
      <c r="Y43" s="1">
        <v>0</v>
      </c>
      <c r="Z43" s="1">
        <v>6</v>
      </c>
      <c r="AA43" s="1">
        <v>6</v>
      </c>
      <c r="AB43" s="1">
        <v>1</v>
      </c>
      <c r="AC43" s="1">
        <v>95.838110900000004</v>
      </c>
      <c r="AS43" s="1">
        <v>96.589178399999994</v>
      </c>
      <c r="AT43" s="1">
        <v>96.605018200000004</v>
      </c>
      <c r="AU43" s="1">
        <v>97.088607999999994</v>
      </c>
      <c r="BW43" s="1">
        <v>95.824628300000001</v>
      </c>
      <c r="BX43" s="1">
        <v>95.838110900000004</v>
      </c>
      <c r="BY43" s="1">
        <v>95.838110900000004</v>
      </c>
      <c r="BZ43" s="1">
        <v>96.589065099999999</v>
      </c>
      <c r="CA43" s="1" t="s">
        <v>134</v>
      </c>
      <c r="CB43" s="1">
        <v>0</v>
      </c>
      <c r="CC43" s="1">
        <v>0.73723380000000005</v>
      </c>
      <c r="CD43" s="1" t="s">
        <v>103</v>
      </c>
      <c r="CE43" s="1">
        <v>97.104718899999995</v>
      </c>
      <c r="CM43" s="1">
        <v>3</v>
      </c>
      <c r="CN43" s="1">
        <v>1</v>
      </c>
      <c r="CO43" s="1" t="s">
        <v>144</v>
      </c>
      <c r="CP43" s="1" t="s">
        <v>99</v>
      </c>
      <c r="CR43" s="1" t="s">
        <v>100</v>
      </c>
      <c r="CS43" s="1">
        <v>60.209480829999997</v>
      </c>
      <c r="CT43" s="1" t="s">
        <v>145</v>
      </c>
    </row>
    <row r="44" spans="2:98" x14ac:dyDescent="0.35">
      <c r="B44" s="1">
        <v>7</v>
      </c>
      <c r="C44" s="1">
        <v>7</v>
      </c>
      <c r="D44" s="1">
        <v>0</v>
      </c>
      <c r="G44" s="1" t="s">
        <v>139</v>
      </c>
      <c r="H44" s="1" t="s">
        <v>136</v>
      </c>
      <c r="I44" s="1" t="s">
        <v>136</v>
      </c>
      <c r="J44" s="1">
        <v>1</v>
      </c>
      <c r="K44" s="1">
        <v>1.0705042</v>
      </c>
      <c r="L44" s="1" t="s">
        <v>103</v>
      </c>
      <c r="Y44" s="1">
        <v>0</v>
      </c>
      <c r="Z44" s="1">
        <v>7</v>
      </c>
      <c r="AA44" s="1">
        <v>7</v>
      </c>
      <c r="AB44" s="1">
        <v>9</v>
      </c>
      <c r="AC44" s="1">
        <v>97.104718899999995</v>
      </c>
      <c r="AS44" s="1">
        <v>98.188767900000002</v>
      </c>
      <c r="AT44" s="1">
        <v>98.204868599999998</v>
      </c>
      <c r="AU44" s="1">
        <v>98.688275200000007</v>
      </c>
      <c r="BW44" s="1">
        <v>97.091786099999993</v>
      </c>
      <c r="BX44" s="1">
        <v>97.104718899999995</v>
      </c>
      <c r="BY44" s="1">
        <v>97.104718899999995</v>
      </c>
      <c r="BZ44" s="1">
        <v>98.188678899999999</v>
      </c>
      <c r="CA44" s="1" t="s">
        <v>136</v>
      </c>
      <c r="CB44" s="1">
        <v>1</v>
      </c>
      <c r="CC44" s="1">
        <v>1.0705042</v>
      </c>
      <c r="CD44" s="1" t="s">
        <v>103</v>
      </c>
      <c r="CE44" s="1">
        <v>98.704699300000001</v>
      </c>
      <c r="CM44" s="1">
        <v>3</v>
      </c>
      <c r="CN44" s="1">
        <v>1</v>
      </c>
      <c r="CO44" s="1" t="s">
        <v>144</v>
      </c>
      <c r="CP44" s="1" t="s">
        <v>99</v>
      </c>
      <c r="CR44" s="1" t="s">
        <v>100</v>
      </c>
      <c r="CS44" s="1">
        <v>60.209480829999997</v>
      </c>
      <c r="CT44" s="1" t="s">
        <v>145</v>
      </c>
    </row>
    <row r="45" spans="2:98" x14ac:dyDescent="0.35">
      <c r="B45" s="1">
        <v>8</v>
      </c>
      <c r="C45" s="1">
        <v>8</v>
      </c>
      <c r="D45" s="1">
        <v>0</v>
      </c>
      <c r="G45" s="1" t="s">
        <v>116</v>
      </c>
      <c r="H45" s="1" t="s">
        <v>134</v>
      </c>
      <c r="I45" s="1" t="s">
        <v>134</v>
      </c>
      <c r="J45" s="1">
        <v>1</v>
      </c>
      <c r="K45" s="1">
        <v>0.73633420000000005</v>
      </c>
      <c r="L45" s="1" t="s">
        <v>103</v>
      </c>
      <c r="Y45" s="1">
        <v>0</v>
      </c>
      <c r="Z45" s="1">
        <v>8</v>
      </c>
      <c r="AA45" s="1">
        <v>8</v>
      </c>
      <c r="AB45" s="1">
        <v>4</v>
      </c>
      <c r="AC45" s="1">
        <v>98.704699300000001</v>
      </c>
      <c r="AS45" s="1">
        <v>99.4561104</v>
      </c>
      <c r="AT45" s="1">
        <v>99.471267600000004</v>
      </c>
      <c r="AU45" s="1">
        <v>99.955234099999998</v>
      </c>
      <c r="BW45" s="1">
        <v>98.690289399999997</v>
      </c>
      <c r="BX45" s="1">
        <v>98.704699300000001</v>
      </c>
      <c r="BY45" s="1">
        <v>98.704699300000001</v>
      </c>
      <c r="BZ45" s="1">
        <v>99.455964300000005</v>
      </c>
      <c r="CA45" s="1" t="s">
        <v>134</v>
      </c>
      <c r="CB45" s="1">
        <v>1</v>
      </c>
      <c r="CC45" s="1">
        <v>0.73633420000000005</v>
      </c>
      <c r="CD45" s="1" t="s">
        <v>103</v>
      </c>
      <c r="CE45" s="1">
        <v>99.971541500000001</v>
      </c>
      <c r="CM45" s="1">
        <v>3</v>
      </c>
      <c r="CN45" s="1">
        <v>1</v>
      </c>
      <c r="CO45" s="1" t="s">
        <v>144</v>
      </c>
      <c r="CP45" s="1" t="s">
        <v>99</v>
      </c>
      <c r="CR45" s="1" t="s">
        <v>100</v>
      </c>
      <c r="CS45" s="1">
        <v>60.209480829999997</v>
      </c>
      <c r="CT45" s="1" t="s">
        <v>145</v>
      </c>
    </row>
    <row r="46" spans="2:98" x14ac:dyDescent="0.35">
      <c r="B46" s="1">
        <v>9</v>
      </c>
      <c r="C46" s="1">
        <v>9</v>
      </c>
      <c r="D46" s="1">
        <v>0</v>
      </c>
      <c r="G46" s="1" t="s">
        <v>137</v>
      </c>
      <c r="H46" s="1" t="s">
        <v>136</v>
      </c>
      <c r="I46" s="1" t="s">
        <v>136</v>
      </c>
      <c r="J46" s="1">
        <v>1</v>
      </c>
      <c r="K46" s="1">
        <v>0.65628750000000002</v>
      </c>
      <c r="L46" s="1" t="s">
        <v>103</v>
      </c>
      <c r="Y46" s="1">
        <v>0</v>
      </c>
      <c r="Z46" s="1">
        <v>9</v>
      </c>
      <c r="AA46" s="1">
        <v>9</v>
      </c>
      <c r="AB46" s="1">
        <v>7</v>
      </c>
      <c r="AC46" s="1">
        <v>99.971541500000001</v>
      </c>
      <c r="AS46" s="1">
        <v>100.63870439999999</v>
      </c>
      <c r="AT46" s="1">
        <v>100.654909</v>
      </c>
      <c r="AU46" s="1">
        <v>101.13877599999999</v>
      </c>
      <c r="BW46" s="1">
        <v>99.9599343</v>
      </c>
      <c r="BX46" s="1">
        <v>99.971541500000001</v>
      </c>
      <c r="BY46" s="1">
        <v>99.971541500000001</v>
      </c>
      <c r="BZ46" s="1">
        <v>100.6385848</v>
      </c>
      <c r="CA46" s="1" t="s">
        <v>136</v>
      </c>
      <c r="CB46" s="1">
        <v>1</v>
      </c>
      <c r="CC46" s="1">
        <v>0.65628750000000002</v>
      </c>
      <c r="CD46" s="1" t="s">
        <v>103</v>
      </c>
      <c r="CE46" s="1">
        <v>101.1550045</v>
      </c>
      <c r="CM46" s="1">
        <v>3</v>
      </c>
      <c r="CN46" s="1">
        <v>1</v>
      </c>
      <c r="CO46" s="1" t="s">
        <v>144</v>
      </c>
      <c r="CP46" s="1" t="s">
        <v>99</v>
      </c>
      <c r="CR46" s="1" t="s">
        <v>100</v>
      </c>
      <c r="CS46" s="1">
        <v>60.209480829999997</v>
      </c>
      <c r="CT46" s="1" t="s">
        <v>145</v>
      </c>
    </row>
    <row r="47" spans="2:98" x14ac:dyDescent="0.35">
      <c r="CF47" s="1">
        <v>101.13899240000001</v>
      </c>
      <c r="CG47" s="1">
        <v>101.1550045</v>
      </c>
      <c r="CH47" s="1">
        <v>101.1550045</v>
      </c>
      <c r="CI47" s="1">
        <v>108.7385318</v>
      </c>
      <c r="CJ47" s="1" t="s">
        <v>102</v>
      </c>
      <c r="CK47" s="1">
        <v>7.5797058000000002</v>
      </c>
      <c r="CL47" s="1" t="s">
        <v>103</v>
      </c>
      <c r="CM47" s="1">
        <v>3</v>
      </c>
      <c r="CN47" s="1">
        <v>1</v>
      </c>
      <c r="CO47" s="1" t="s">
        <v>144</v>
      </c>
      <c r="CP47" s="1" t="s">
        <v>99</v>
      </c>
      <c r="CR47" s="1" t="s">
        <v>100</v>
      </c>
      <c r="CS47" s="1">
        <v>60.209480829999997</v>
      </c>
      <c r="CT47" s="1" t="s">
        <v>145</v>
      </c>
    </row>
    <row r="49" spans="10:11" x14ac:dyDescent="0.35">
      <c r="J49" s="2">
        <f>AVERAGE(J37:J46)</f>
        <v>0.7</v>
      </c>
      <c r="K49" s="2">
        <f>AVERAGE(K37:K46)</f>
        <v>1.04698435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B2EA3E-C6E5-41AF-9783-30C25CB9FCAB}">
  <dimension ref="A1:CS49"/>
  <sheetViews>
    <sheetView topLeftCell="A35" workbookViewId="0">
      <selection activeCell="J46" sqref="J46"/>
    </sheetView>
  </sheetViews>
  <sheetFormatPr defaultRowHeight="14.5" x14ac:dyDescent="0.35"/>
  <cols>
    <col min="1" max="16384" width="8.7265625" style="1"/>
  </cols>
  <sheetData>
    <row r="1" spans="1:9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33</v>
      </c>
      <c r="AH1" s="1" t="s">
        <v>34</v>
      </c>
      <c r="AI1" s="1" t="s">
        <v>35</v>
      </c>
      <c r="AJ1" s="1" t="s">
        <v>36</v>
      </c>
      <c r="AK1" s="1" t="s">
        <v>37</v>
      </c>
      <c r="AL1" s="1" t="s">
        <v>38</v>
      </c>
      <c r="AM1" s="1" t="s">
        <v>39</v>
      </c>
      <c r="AN1" s="1" t="s">
        <v>40</v>
      </c>
      <c r="AO1" s="1" t="s">
        <v>41</v>
      </c>
      <c r="AP1" s="1" t="s">
        <v>42</v>
      </c>
      <c r="AQ1" s="1" t="s">
        <v>43</v>
      </c>
      <c r="AR1" s="1" t="s">
        <v>44</v>
      </c>
      <c r="AS1" s="1" t="s">
        <v>45</v>
      </c>
      <c r="AT1" s="1" t="s">
        <v>46</v>
      </c>
      <c r="AU1" s="1" t="s">
        <v>47</v>
      </c>
      <c r="AV1" s="1" t="s">
        <v>48</v>
      </c>
      <c r="AW1" s="1" t="s">
        <v>49</v>
      </c>
      <c r="AX1" s="1" t="s">
        <v>50</v>
      </c>
      <c r="AY1" s="1" t="s">
        <v>51</v>
      </c>
      <c r="AZ1" s="1" t="s">
        <v>52</v>
      </c>
      <c r="BA1" s="1" t="s">
        <v>53</v>
      </c>
      <c r="BB1" s="1" t="s">
        <v>54</v>
      </c>
      <c r="BC1" s="1" t="s">
        <v>55</v>
      </c>
      <c r="BD1" s="1" t="s">
        <v>56</v>
      </c>
      <c r="BE1" s="1" t="s">
        <v>57</v>
      </c>
      <c r="BF1" s="1" t="s">
        <v>58</v>
      </c>
      <c r="BG1" s="1" t="s">
        <v>59</v>
      </c>
      <c r="BH1" s="1" t="s">
        <v>60</v>
      </c>
      <c r="BI1" s="1" t="s">
        <v>61</v>
      </c>
      <c r="BJ1" s="1" t="s">
        <v>62</v>
      </c>
      <c r="BK1" s="1" t="s">
        <v>63</v>
      </c>
      <c r="BL1" s="1" t="s">
        <v>64</v>
      </c>
      <c r="BM1" s="1" t="s">
        <v>65</v>
      </c>
      <c r="BN1" s="1" t="s">
        <v>66</v>
      </c>
      <c r="BO1" s="1" t="s">
        <v>67</v>
      </c>
      <c r="BP1" s="1" t="s">
        <v>68</v>
      </c>
      <c r="BQ1" s="1" t="s">
        <v>69</v>
      </c>
      <c r="BR1" s="1" t="s">
        <v>70</v>
      </c>
      <c r="BS1" s="1" t="s">
        <v>71</v>
      </c>
      <c r="BT1" s="1" t="s">
        <v>72</v>
      </c>
      <c r="BU1" s="1" t="s">
        <v>73</v>
      </c>
      <c r="BV1" s="1" t="s">
        <v>74</v>
      </c>
      <c r="BW1" s="1" t="s">
        <v>75</v>
      </c>
      <c r="BX1" s="1" t="s">
        <v>76</v>
      </c>
      <c r="BY1" s="1" t="s">
        <v>77</v>
      </c>
      <c r="BZ1" s="1" t="s">
        <v>78</v>
      </c>
      <c r="CA1" s="1" t="s">
        <v>79</v>
      </c>
      <c r="CB1" s="1" t="s">
        <v>80</v>
      </c>
      <c r="CC1" s="1" t="s">
        <v>81</v>
      </c>
      <c r="CD1" s="1" t="s">
        <v>82</v>
      </c>
      <c r="CE1" s="1" t="s">
        <v>83</v>
      </c>
      <c r="CF1" s="1" t="s">
        <v>84</v>
      </c>
      <c r="CG1" s="1" t="s">
        <v>85</v>
      </c>
      <c r="CH1" s="1" t="s">
        <v>86</v>
      </c>
      <c r="CI1" s="1" t="s">
        <v>87</v>
      </c>
      <c r="CJ1" s="1" t="s">
        <v>88</v>
      </c>
      <c r="CK1" s="1" t="s">
        <v>89</v>
      </c>
      <c r="CL1" s="1" t="s">
        <v>90</v>
      </c>
      <c r="CM1" s="1" t="s">
        <v>91</v>
      </c>
      <c r="CN1" s="1" t="s">
        <v>92</v>
      </c>
      <c r="CO1" s="1" t="s">
        <v>93</v>
      </c>
      <c r="CP1" s="1" t="s">
        <v>94</v>
      </c>
      <c r="CQ1" s="1" t="s">
        <v>95</v>
      </c>
      <c r="CR1" s="1" t="s">
        <v>96</v>
      </c>
      <c r="CS1" s="1" t="s">
        <v>97</v>
      </c>
    </row>
    <row r="2" spans="1:97" x14ac:dyDescent="0.35">
      <c r="AE2" s="1">
        <v>3.0766000000000001E-3</v>
      </c>
      <c r="AF2" s="1">
        <v>2.20997E-2</v>
      </c>
      <c r="AG2" s="1">
        <v>3.0075186</v>
      </c>
      <c r="CL2" s="1">
        <v>4</v>
      </c>
      <c r="CM2" s="1">
        <v>1</v>
      </c>
      <c r="CN2" s="1" t="s">
        <v>146</v>
      </c>
      <c r="CO2" s="1" t="s">
        <v>99</v>
      </c>
      <c r="CQ2" s="1" t="s">
        <v>100</v>
      </c>
      <c r="CR2" s="1">
        <v>59.818272090000001</v>
      </c>
      <c r="CS2" s="1" t="s">
        <v>147</v>
      </c>
    </row>
    <row r="3" spans="1:97" x14ac:dyDescent="0.35">
      <c r="AH3" s="1">
        <v>3.0077229999999999</v>
      </c>
      <c r="AI3" s="1">
        <v>3.0241918000000001</v>
      </c>
      <c r="AJ3" s="1">
        <v>3.0241918000000001</v>
      </c>
      <c r="AK3" s="1">
        <v>7.4967024000000002</v>
      </c>
      <c r="AL3" s="1" t="s">
        <v>102</v>
      </c>
      <c r="AM3" s="1">
        <v>4.4495662999999999</v>
      </c>
      <c r="AN3" s="1" t="s">
        <v>103</v>
      </c>
      <c r="CL3" s="1">
        <v>4</v>
      </c>
      <c r="CM3" s="1">
        <v>1</v>
      </c>
      <c r="CN3" s="1" t="s">
        <v>146</v>
      </c>
      <c r="CO3" s="1" t="s">
        <v>99</v>
      </c>
      <c r="CQ3" s="1" t="s">
        <v>100</v>
      </c>
      <c r="CR3" s="1">
        <v>59.818272090000001</v>
      </c>
      <c r="CS3" s="1" t="s">
        <v>147</v>
      </c>
    </row>
    <row r="4" spans="1:97" x14ac:dyDescent="0.35">
      <c r="A4" s="1" t="s">
        <v>113</v>
      </c>
      <c r="B4" s="1">
        <v>0</v>
      </c>
      <c r="C4" s="1">
        <v>0</v>
      </c>
      <c r="D4" s="1">
        <v>0</v>
      </c>
      <c r="M4" s="1">
        <v>0</v>
      </c>
      <c r="N4" s="1">
        <v>0</v>
      </c>
      <c r="O4" s="1">
        <v>0</v>
      </c>
      <c r="P4" s="1">
        <v>5</v>
      </c>
      <c r="AC4" s="1">
        <v>7.5113148000000001</v>
      </c>
      <c r="AO4" s="1">
        <v>7.5078031000000003</v>
      </c>
      <c r="AP4" s="1">
        <v>7.5113148000000001</v>
      </c>
      <c r="AQ4" s="1">
        <v>8.5079457999999999</v>
      </c>
      <c r="AR4" s="1">
        <v>8.5080249999999999</v>
      </c>
      <c r="AS4" s="1">
        <v>8.5238151999999996</v>
      </c>
      <c r="AT4" s="1">
        <v>9.0083111999999996</v>
      </c>
      <c r="CL4" s="1">
        <v>4</v>
      </c>
      <c r="CM4" s="1">
        <v>1</v>
      </c>
      <c r="CN4" s="1" t="s">
        <v>146</v>
      </c>
      <c r="CO4" s="1" t="s">
        <v>99</v>
      </c>
      <c r="CQ4" s="1" t="s">
        <v>100</v>
      </c>
      <c r="CR4" s="1">
        <v>59.818272090000001</v>
      </c>
      <c r="CS4" s="1" t="s">
        <v>147</v>
      </c>
    </row>
    <row r="5" spans="1:97" x14ac:dyDescent="0.35">
      <c r="A5" s="1" t="s">
        <v>110</v>
      </c>
      <c r="B5" s="1">
        <v>1</v>
      </c>
      <c r="C5" s="1">
        <v>1</v>
      </c>
      <c r="D5" s="1">
        <v>0</v>
      </c>
      <c r="M5" s="1">
        <v>0</v>
      </c>
      <c r="N5" s="1">
        <v>1</v>
      </c>
      <c r="O5" s="1">
        <v>1</v>
      </c>
      <c r="P5" s="1">
        <v>7</v>
      </c>
      <c r="AC5" s="1">
        <v>9.0244747000000007</v>
      </c>
      <c r="AO5" s="1">
        <v>9.0128588000000001</v>
      </c>
      <c r="AP5" s="1">
        <v>9.0244747000000007</v>
      </c>
      <c r="AQ5" s="1">
        <v>10.008960699999999</v>
      </c>
      <c r="AR5" s="1">
        <v>10.0090454</v>
      </c>
      <c r="AS5" s="1">
        <v>10.0248253</v>
      </c>
      <c r="AT5" s="1">
        <v>10.5093543</v>
      </c>
      <c r="CL5" s="1">
        <v>4</v>
      </c>
      <c r="CM5" s="1">
        <v>1</v>
      </c>
      <c r="CN5" s="1" t="s">
        <v>146</v>
      </c>
      <c r="CO5" s="1" t="s">
        <v>99</v>
      </c>
      <c r="CQ5" s="1" t="s">
        <v>100</v>
      </c>
      <c r="CR5" s="1">
        <v>59.818272090000001</v>
      </c>
      <c r="CS5" s="1" t="s">
        <v>147</v>
      </c>
    </row>
    <row r="6" spans="1:97" x14ac:dyDescent="0.35">
      <c r="A6" s="1" t="s">
        <v>108</v>
      </c>
      <c r="B6" s="1">
        <v>2</v>
      </c>
      <c r="C6" s="1">
        <v>2</v>
      </c>
      <c r="D6" s="1">
        <v>0</v>
      </c>
      <c r="M6" s="1">
        <v>0</v>
      </c>
      <c r="N6" s="1">
        <v>2</v>
      </c>
      <c r="O6" s="1">
        <v>2</v>
      </c>
      <c r="P6" s="1">
        <v>4</v>
      </c>
      <c r="AC6" s="1">
        <v>10.5243605</v>
      </c>
      <c r="AO6" s="1">
        <v>10.5140543</v>
      </c>
      <c r="AP6" s="1">
        <v>10.5243605</v>
      </c>
      <c r="AQ6" s="1">
        <v>11.5083266</v>
      </c>
      <c r="AR6" s="1">
        <v>11.508409500000001</v>
      </c>
      <c r="AS6" s="1">
        <v>11.524968299999999</v>
      </c>
      <c r="AT6" s="1">
        <v>12.0076058</v>
      </c>
      <c r="CL6" s="1">
        <v>4</v>
      </c>
      <c r="CM6" s="1">
        <v>1</v>
      </c>
      <c r="CN6" s="1" t="s">
        <v>146</v>
      </c>
      <c r="CO6" s="1" t="s">
        <v>99</v>
      </c>
      <c r="CQ6" s="1" t="s">
        <v>100</v>
      </c>
      <c r="CR6" s="1">
        <v>59.818272090000001</v>
      </c>
      <c r="CS6" s="1" t="s">
        <v>147</v>
      </c>
    </row>
    <row r="7" spans="1:97" x14ac:dyDescent="0.35">
      <c r="A7" s="1" t="s">
        <v>107</v>
      </c>
      <c r="B7" s="1">
        <v>3</v>
      </c>
      <c r="C7" s="1">
        <v>3</v>
      </c>
      <c r="D7" s="1">
        <v>0</v>
      </c>
      <c r="M7" s="1">
        <v>0</v>
      </c>
      <c r="N7" s="1">
        <v>3</v>
      </c>
      <c r="O7" s="1">
        <v>3</v>
      </c>
      <c r="P7" s="1">
        <v>9</v>
      </c>
      <c r="AC7" s="1">
        <v>12.0234804</v>
      </c>
      <c r="AO7" s="1">
        <v>12.0123114</v>
      </c>
      <c r="AP7" s="1">
        <v>12.0234804</v>
      </c>
      <c r="AQ7" s="1">
        <v>13.0079346</v>
      </c>
      <c r="AR7" s="1">
        <v>13.0080355</v>
      </c>
      <c r="AS7" s="1">
        <v>13.0239504</v>
      </c>
      <c r="AT7" s="1">
        <v>13.507417800000001</v>
      </c>
      <c r="CL7" s="1">
        <v>4</v>
      </c>
      <c r="CM7" s="1">
        <v>1</v>
      </c>
      <c r="CN7" s="1" t="s">
        <v>146</v>
      </c>
      <c r="CO7" s="1" t="s">
        <v>99</v>
      </c>
      <c r="CQ7" s="1" t="s">
        <v>100</v>
      </c>
      <c r="CR7" s="1">
        <v>59.818272090000001</v>
      </c>
      <c r="CS7" s="1" t="s">
        <v>147</v>
      </c>
    </row>
    <row r="8" spans="1:97" x14ac:dyDescent="0.35">
      <c r="A8" s="1" t="s">
        <v>111</v>
      </c>
      <c r="B8" s="1">
        <v>4</v>
      </c>
      <c r="C8" s="1">
        <v>4</v>
      </c>
      <c r="D8" s="1">
        <v>0</v>
      </c>
      <c r="M8" s="1">
        <v>0</v>
      </c>
      <c r="N8" s="1">
        <v>4</v>
      </c>
      <c r="O8" s="1">
        <v>4</v>
      </c>
      <c r="P8" s="1">
        <v>3</v>
      </c>
      <c r="AC8" s="1">
        <v>13.5229579</v>
      </c>
      <c r="AO8" s="1">
        <v>13.5122389</v>
      </c>
      <c r="AP8" s="1">
        <v>13.5229579</v>
      </c>
      <c r="AQ8" s="1">
        <v>14.5079663</v>
      </c>
      <c r="AR8" s="1">
        <v>14.5080527</v>
      </c>
      <c r="AS8" s="1">
        <v>14.5248518</v>
      </c>
      <c r="AT8" s="1">
        <v>15.007766500000001</v>
      </c>
      <c r="CL8" s="1">
        <v>4</v>
      </c>
      <c r="CM8" s="1">
        <v>1</v>
      </c>
      <c r="CN8" s="1" t="s">
        <v>146</v>
      </c>
      <c r="CO8" s="1" t="s">
        <v>99</v>
      </c>
      <c r="CQ8" s="1" t="s">
        <v>100</v>
      </c>
      <c r="CR8" s="1">
        <v>59.818272090000001</v>
      </c>
      <c r="CS8" s="1" t="s">
        <v>147</v>
      </c>
    </row>
    <row r="9" spans="1:97" x14ac:dyDescent="0.35">
      <c r="A9" s="1" t="s">
        <v>106</v>
      </c>
      <c r="B9" s="1">
        <v>5</v>
      </c>
      <c r="C9" s="1">
        <v>5</v>
      </c>
      <c r="D9" s="1">
        <v>0</v>
      </c>
      <c r="M9" s="1">
        <v>0</v>
      </c>
      <c r="N9" s="1">
        <v>5</v>
      </c>
      <c r="O9" s="1">
        <v>5</v>
      </c>
      <c r="P9" s="1">
        <v>0</v>
      </c>
      <c r="AC9" s="1">
        <v>15.0238651</v>
      </c>
      <c r="AO9" s="1">
        <v>15.0126837</v>
      </c>
      <c r="AP9" s="1">
        <v>15.0238651</v>
      </c>
      <c r="AQ9" s="1">
        <v>16.008589400000002</v>
      </c>
      <c r="AR9" s="1">
        <v>16.008676999999999</v>
      </c>
      <c r="AS9" s="1">
        <v>16.024825700000001</v>
      </c>
      <c r="AT9" s="1">
        <v>16.508371499999999</v>
      </c>
      <c r="CL9" s="1">
        <v>4</v>
      </c>
      <c r="CM9" s="1">
        <v>1</v>
      </c>
      <c r="CN9" s="1" t="s">
        <v>146</v>
      </c>
      <c r="CO9" s="1" t="s">
        <v>99</v>
      </c>
      <c r="CQ9" s="1" t="s">
        <v>100</v>
      </c>
      <c r="CR9" s="1">
        <v>59.818272090000001</v>
      </c>
      <c r="CS9" s="1" t="s">
        <v>147</v>
      </c>
    </row>
    <row r="10" spans="1:97" x14ac:dyDescent="0.35">
      <c r="A10" s="1" t="s">
        <v>104</v>
      </c>
      <c r="B10" s="1">
        <v>6</v>
      </c>
      <c r="C10" s="1">
        <v>6</v>
      </c>
      <c r="D10" s="1">
        <v>0</v>
      </c>
      <c r="M10" s="1">
        <v>0</v>
      </c>
      <c r="N10" s="1">
        <v>6</v>
      </c>
      <c r="O10" s="1">
        <v>6</v>
      </c>
      <c r="P10" s="1">
        <v>2</v>
      </c>
      <c r="AC10" s="1">
        <v>16.524170600000001</v>
      </c>
      <c r="AO10" s="1">
        <v>16.513353200000001</v>
      </c>
      <c r="AP10" s="1">
        <v>16.524170600000001</v>
      </c>
      <c r="AQ10" s="1">
        <v>17.508056799999999</v>
      </c>
      <c r="AR10" s="1">
        <v>17.508143499999999</v>
      </c>
      <c r="AS10" s="1">
        <v>17.523766200000001</v>
      </c>
      <c r="AT10" s="1">
        <v>18.007279700000002</v>
      </c>
      <c r="CL10" s="1">
        <v>4</v>
      </c>
      <c r="CM10" s="1">
        <v>1</v>
      </c>
      <c r="CN10" s="1" t="s">
        <v>146</v>
      </c>
      <c r="CO10" s="1" t="s">
        <v>99</v>
      </c>
      <c r="CQ10" s="1" t="s">
        <v>100</v>
      </c>
      <c r="CR10" s="1">
        <v>59.818272090000001</v>
      </c>
      <c r="CS10" s="1" t="s">
        <v>147</v>
      </c>
    </row>
    <row r="11" spans="1:97" x14ac:dyDescent="0.35">
      <c r="A11" s="1" t="s">
        <v>105</v>
      </c>
      <c r="B11" s="1">
        <v>7</v>
      </c>
      <c r="C11" s="1">
        <v>7</v>
      </c>
      <c r="D11" s="1">
        <v>0</v>
      </c>
      <c r="M11" s="1">
        <v>0</v>
      </c>
      <c r="N11" s="1">
        <v>7</v>
      </c>
      <c r="O11" s="1">
        <v>7</v>
      </c>
      <c r="P11" s="1">
        <v>1</v>
      </c>
      <c r="AC11" s="1">
        <v>18.024138199999999</v>
      </c>
      <c r="AO11" s="1">
        <v>18.0108268</v>
      </c>
      <c r="AP11" s="1">
        <v>18.024138199999999</v>
      </c>
      <c r="AQ11" s="1">
        <v>19.007896500000001</v>
      </c>
      <c r="AR11" s="1">
        <v>19.007981999999998</v>
      </c>
      <c r="AS11" s="1">
        <v>19.022895299999998</v>
      </c>
      <c r="AT11" s="1">
        <v>19.5070944</v>
      </c>
      <c r="CL11" s="1">
        <v>4</v>
      </c>
      <c r="CM11" s="1">
        <v>1</v>
      </c>
      <c r="CN11" s="1" t="s">
        <v>146</v>
      </c>
      <c r="CO11" s="1" t="s">
        <v>99</v>
      </c>
      <c r="CQ11" s="1" t="s">
        <v>100</v>
      </c>
      <c r="CR11" s="1">
        <v>59.818272090000001</v>
      </c>
      <c r="CS11" s="1" t="s">
        <v>147</v>
      </c>
    </row>
    <row r="12" spans="1:97" x14ac:dyDescent="0.35">
      <c r="A12" s="1" t="s">
        <v>112</v>
      </c>
      <c r="B12" s="1">
        <v>8</v>
      </c>
      <c r="C12" s="1">
        <v>8</v>
      </c>
      <c r="D12" s="1">
        <v>0</v>
      </c>
      <c r="M12" s="1">
        <v>0</v>
      </c>
      <c r="N12" s="1">
        <v>8</v>
      </c>
      <c r="O12" s="1">
        <v>8</v>
      </c>
      <c r="P12" s="1">
        <v>6</v>
      </c>
      <c r="AC12" s="1">
        <v>19.523025499999999</v>
      </c>
      <c r="AO12" s="1">
        <v>19.511189300000002</v>
      </c>
      <c r="AP12" s="1">
        <v>19.523025499999999</v>
      </c>
      <c r="AQ12" s="1">
        <v>20.507822000000001</v>
      </c>
      <c r="AR12" s="1">
        <v>20.507907199999998</v>
      </c>
      <c r="AS12" s="1">
        <v>20.524048700000002</v>
      </c>
      <c r="AT12" s="1">
        <v>21.007598099999999</v>
      </c>
      <c r="CL12" s="1">
        <v>4</v>
      </c>
      <c r="CM12" s="1">
        <v>1</v>
      </c>
      <c r="CN12" s="1" t="s">
        <v>146</v>
      </c>
      <c r="CO12" s="1" t="s">
        <v>99</v>
      </c>
      <c r="CQ12" s="1" t="s">
        <v>100</v>
      </c>
      <c r="CR12" s="1">
        <v>59.818272090000001</v>
      </c>
      <c r="CS12" s="1" t="s">
        <v>147</v>
      </c>
    </row>
    <row r="13" spans="1:97" x14ac:dyDescent="0.35">
      <c r="A13" s="1" t="s">
        <v>109</v>
      </c>
      <c r="B13" s="1">
        <v>9</v>
      </c>
      <c r="C13" s="1">
        <v>9</v>
      </c>
      <c r="D13" s="1">
        <v>0</v>
      </c>
      <c r="M13" s="1">
        <v>0</v>
      </c>
      <c r="N13" s="1">
        <v>9</v>
      </c>
      <c r="O13" s="1">
        <v>9</v>
      </c>
      <c r="P13" s="1">
        <v>8</v>
      </c>
      <c r="AC13" s="1">
        <v>21.0231791</v>
      </c>
      <c r="AO13" s="1">
        <v>21.012452799999998</v>
      </c>
      <c r="AP13" s="1">
        <v>21.0231791</v>
      </c>
      <c r="AQ13" s="1">
        <v>22.008304899999999</v>
      </c>
      <c r="AR13" s="1">
        <v>22.008411200000001</v>
      </c>
      <c r="AS13" s="1">
        <v>22.0237351</v>
      </c>
      <c r="AT13" s="1">
        <v>22.508157499999999</v>
      </c>
      <c r="CL13" s="1">
        <v>4</v>
      </c>
      <c r="CM13" s="1">
        <v>1</v>
      </c>
      <c r="CN13" s="1" t="s">
        <v>146</v>
      </c>
      <c r="CO13" s="1" t="s">
        <v>99</v>
      </c>
      <c r="CQ13" s="1" t="s">
        <v>100</v>
      </c>
      <c r="CR13" s="1">
        <v>59.818272090000001</v>
      </c>
      <c r="CS13" s="1" t="s">
        <v>147</v>
      </c>
    </row>
    <row r="14" spans="1:97" x14ac:dyDescent="0.35">
      <c r="B14" s="1">
        <v>0</v>
      </c>
      <c r="C14" s="1">
        <v>0</v>
      </c>
      <c r="D14" s="1">
        <v>0</v>
      </c>
      <c r="E14" s="1" t="s">
        <v>117</v>
      </c>
      <c r="Q14" s="1">
        <v>0</v>
      </c>
      <c r="R14" s="1">
        <v>0</v>
      </c>
      <c r="S14" s="1">
        <v>0</v>
      </c>
      <c r="T14" s="1">
        <v>1</v>
      </c>
      <c r="AC14" s="1">
        <v>22.527841200000001</v>
      </c>
      <c r="AR14" s="1">
        <v>23.506592099999999</v>
      </c>
      <c r="AS14" s="1">
        <v>23.5221421</v>
      </c>
      <c r="AT14" s="1">
        <v>24.007070500000001</v>
      </c>
      <c r="AU14" s="1">
        <v>22.524505099999999</v>
      </c>
      <c r="AV14" s="1">
        <v>22.527841200000001</v>
      </c>
      <c r="AW14" s="1">
        <v>23.506494499999999</v>
      </c>
      <c r="CL14" s="1">
        <v>4</v>
      </c>
      <c r="CM14" s="1">
        <v>1</v>
      </c>
      <c r="CN14" s="1" t="s">
        <v>146</v>
      </c>
      <c r="CO14" s="1" t="s">
        <v>99</v>
      </c>
      <c r="CQ14" s="1" t="s">
        <v>100</v>
      </c>
      <c r="CR14" s="1">
        <v>59.818272090000001</v>
      </c>
      <c r="CS14" s="1" t="s">
        <v>147</v>
      </c>
    </row>
    <row r="15" spans="1:97" x14ac:dyDescent="0.35">
      <c r="B15" s="1">
        <v>1</v>
      </c>
      <c r="C15" s="1">
        <v>1</v>
      </c>
      <c r="D15" s="1">
        <v>0</v>
      </c>
      <c r="E15" s="1" t="s">
        <v>119</v>
      </c>
      <c r="Q15" s="1">
        <v>0</v>
      </c>
      <c r="R15" s="1">
        <v>1</v>
      </c>
      <c r="S15" s="1">
        <v>1</v>
      </c>
      <c r="T15" s="1">
        <v>9</v>
      </c>
      <c r="AC15" s="1">
        <v>24.023076</v>
      </c>
      <c r="AR15" s="1">
        <v>25.006218199999999</v>
      </c>
      <c r="AS15" s="1">
        <v>25.0231469</v>
      </c>
      <c r="AT15" s="1">
        <v>25.5055397</v>
      </c>
      <c r="AU15" s="1">
        <v>24.0111101</v>
      </c>
      <c r="AV15" s="1">
        <v>24.023076</v>
      </c>
      <c r="AW15" s="1">
        <v>25.006165299999999</v>
      </c>
      <c r="CL15" s="1">
        <v>4</v>
      </c>
      <c r="CM15" s="1">
        <v>1</v>
      </c>
      <c r="CN15" s="1" t="s">
        <v>146</v>
      </c>
      <c r="CO15" s="1" t="s">
        <v>99</v>
      </c>
      <c r="CQ15" s="1" t="s">
        <v>100</v>
      </c>
      <c r="CR15" s="1">
        <v>59.818272090000001</v>
      </c>
      <c r="CS15" s="1" t="s">
        <v>147</v>
      </c>
    </row>
    <row r="16" spans="1:97" x14ac:dyDescent="0.35">
      <c r="B16" s="1">
        <v>2</v>
      </c>
      <c r="C16" s="1">
        <v>2</v>
      </c>
      <c r="D16" s="1">
        <v>0</v>
      </c>
      <c r="E16" s="1" t="s">
        <v>115</v>
      </c>
      <c r="Q16" s="1">
        <v>0</v>
      </c>
      <c r="R16" s="1">
        <v>2</v>
      </c>
      <c r="S16" s="1">
        <v>2</v>
      </c>
      <c r="T16" s="1">
        <v>7</v>
      </c>
      <c r="AC16" s="1">
        <v>25.521964499999999</v>
      </c>
      <c r="AR16" s="1">
        <v>26.5063879</v>
      </c>
      <c r="AS16" s="1">
        <v>26.5219323</v>
      </c>
      <c r="AT16" s="1">
        <v>27.005237000000001</v>
      </c>
      <c r="AU16" s="1">
        <v>25.508263199999998</v>
      </c>
      <c r="AV16" s="1">
        <v>25.521964499999999</v>
      </c>
      <c r="AW16" s="1">
        <v>26.506312000000001</v>
      </c>
      <c r="CL16" s="1">
        <v>4</v>
      </c>
      <c r="CM16" s="1">
        <v>1</v>
      </c>
      <c r="CN16" s="1" t="s">
        <v>146</v>
      </c>
      <c r="CO16" s="1" t="s">
        <v>99</v>
      </c>
      <c r="CQ16" s="1" t="s">
        <v>100</v>
      </c>
      <c r="CR16" s="1">
        <v>59.818272090000001</v>
      </c>
      <c r="CS16" s="1" t="s">
        <v>147</v>
      </c>
    </row>
    <row r="17" spans="2:97" x14ac:dyDescent="0.35">
      <c r="B17" s="1">
        <v>3</v>
      </c>
      <c r="C17" s="1">
        <v>3</v>
      </c>
      <c r="D17" s="1">
        <v>0</v>
      </c>
      <c r="E17" s="1" t="s">
        <v>114</v>
      </c>
      <c r="Q17" s="1">
        <v>0</v>
      </c>
      <c r="R17" s="1">
        <v>3</v>
      </c>
      <c r="S17" s="1">
        <v>3</v>
      </c>
      <c r="T17" s="1">
        <v>5</v>
      </c>
      <c r="AC17" s="1">
        <v>27.021956299999999</v>
      </c>
      <c r="AR17" s="1">
        <v>28.007396100000001</v>
      </c>
      <c r="AS17" s="1">
        <v>28.023462599999998</v>
      </c>
      <c r="AT17" s="1">
        <v>28.505791200000001</v>
      </c>
      <c r="AU17" s="1">
        <v>27.007245000000001</v>
      </c>
      <c r="AV17" s="1">
        <v>27.021956299999999</v>
      </c>
      <c r="AW17" s="1">
        <v>28.007304999999999</v>
      </c>
      <c r="CL17" s="1">
        <v>4</v>
      </c>
      <c r="CM17" s="1">
        <v>1</v>
      </c>
      <c r="CN17" s="1" t="s">
        <v>146</v>
      </c>
      <c r="CO17" s="1" t="s">
        <v>99</v>
      </c>
      <c r="CQ17" s="1" t="s">
        <v>100</v>
      </c>
      <c r="CR17" s="1">
        <v>59.818272090000001</v>
      </c>
      <c r="CS17" s="1" t="s">
        <v>147</v>
      </c>
    </row>
    <row r="18" spans="2:97" x14ac:dyDescent="0.35">
      <c r="B18" s="1">
        <v>4</v>
      </c>
      <c r="C18" s="1">
        <v>4</v>
      </c>
      <c r="D18" s="1">
        <v>0</v>
      </c>
      <c r="E18" s="1" t="s">
        <v>118</v>
      </c>
      <c r="Q18" s="1">
        <v>0</v>
      </c>
      <c r="R18" s="1">
        <v>4</v>
      </c>
      <c r="S18" s="1">
        <v>4</v>
      </c>
      <c r="T18" s="1">
        <v>6</v>
      </c>
      <c r="AC18" s="1">
        <v>28.522101299999999</v>
      </c>
      <c r="AR18" s="1">
        <v>29.505721999999999</v>
      </c>
      <c r="AS18" s="1">
        <v>29.5217554</v>
      </c>
      <c r="AT18" s="1">
        <v>30.005827700000001</v>
      </c>
      <c r="AU18" s="1">
        <v>28.508821399999999</v>
      </c>
      <c r="AV18" s="1">
        <v>28.522101299999999</v>
      </c>
      <c r="AW18" s="1">
        <v>29.505667800000001</v>
      </c>
      <c r="CL18" s="1">
        <v>4</v>
      </c>
      <c r="CM18" s="1">
        <v>1</v>
      </c>
      <c r="CN18" s="1" t="s">
        <v>146</v>
      </c>
      <c r="CO18" s="1" t="s">
        <v>99</v>
      </c>
      <c r="CQ18" s="1" t="s">
        <v>100</v>
      </c>
      <c r="CR18" s="1">
        <v>59.818272090000001</v>
      </c>
      <c r="CS18" s="1" t="s">
        <v>147</v>
      </c>
    </row>
    <row r="19" spans="2:97" x14ac:dyDescent="0.35">
      <c r="B19" s="1">
        <v>5</v>
      </c>
      <c r="C19" s="1">
        <v>5</v>
      </c>
      <c r="D19" s="1">
        <v>0</v>
      </c>
      <c r="E19" s="1" t="s">
        <v>123</v>
      </c>
      <c r="Q19" s="1">
        <v>0</v>
      </c>
      <c r="R19" s="1">
        <v>5</v>
      </c>
      <c r="S19" s="1">
        <v>5</v>
      </c>
      <c r="T19" s="1">
        <v>2</v>
      </c>
      <c r="AC19" s="1">
        <v>30.021691000000001</v>
      </c>
      <c r="AR19" s="1">
        <v>31.006565599999998</v>
      </c>
      <c r="AS19" s="1">
        <v>31.0224236</v>
      </c>
      <c r="AT19" s="1">
        <v>31.507036899999999</v>
      </c>
      <c r="AU19" s="1">
        <v>30.007874099999999</v>
      </c>
      <c r="AV19" s="1">
        <v>30.021691000000001</v>
      </c>
      <c r="AW19" s="1">
        <v>31.0064104</v>
      </c>
      <c r="CL19" s="1">
        <v>4</v>
      </c>
      <c r="CM19" s="1">
        <v>1</v>
      </c>
      <c r="CN19" s="1" t="s">
        <v>146</v>
      </c>
      <c r="CO19" s="1" t="s">
        <v>99</v>
      </c>
      <c r="CQ19" s="1" t="s">
        <v>100</v>
      </c>
      <c r="CR19" s="1">
        <v>59.818272090000001</v>
      </c>
      <c r="CS19" s="1" t="s">
        <v>147</v>
      </c>
    </row>
    <row r="20" spans="2:97" x14ac:dyDescent="0.35">
      <c r="B20" s="1">
        <v>6</v>
      </c>
      <c r="C20" s="1">
        <v>6</v>
      </c>
      <c r="D20" s="1">
        <v>0</v>
      </c>
      <c r="E20" s="1" t="s">
        <v>122</v>
      </c>
      <c r="Q20" s="1">
        <v>0</v>
      </c>
      <c r="R20" s="1">
        <v>6</v>
      </c>
      <c r="S20" s="1">
        <v>6</v>
      </c>
      <c r="T20" s="1">
        <v>8</v>
      </c>
      <c r="AC20" s="1">
        <v>31.523181000000001</v>
      </c>
      <c r="AR20" s="1">
        <v>32.505568599999997</v>
      </c>
      <c r="AS20" s="1">
        <v>32.522706399999997</v>
      </c>
      <c r="AT20" s="1">
        <v>33.007241399999998</v>
      </c>
      <c r="AU20" s="1">
        <v>31.512067099999999</v>
      </c>
      <c r="AV20" s="1">
        <v>31.523181000000001</v>
      </c>
      <c r="AW20" s="1">
        <v>32.505517599999997</v>
      </c>
      <c r="CL20" s="1">
        <v>4</v>
      </c>
      <c r="CM20" s="1">
        <v>1</v>
      </c>
      <c r="CN20" s="1" t="s">
        <v>146</v>
      </c>
      <c r="CO20" s="1" t="s">
        <v>99</v>
      </c>
      <c r="CQ20" s="1" t="s">
        <v>100</v>
      </c>
      <c r="CR20" s="1">
        <v>59.818272090000001</v>
      </c>
      <c r="CS20" s="1" t="s">
        <v>147</v>
      </c>
    </row>
    <row r="21" spans="2:97" x14ac:dyDescent="0.35">
      <c r="B21" s="1">
        <v>7</v>
      </c>
      <c r="C21" s="1">
        <v>7</v>
      </c>
      <c r="D21" s="1">
        <v>0</v>
      </c>
      <c r="E21" s="1" t="s">
        <v>121</v>
      </c>
      <c r="Q21" s="1">
        <v>0</v>
      </c>
      <c r="R21" s="1">
        <v>7</v>
      </c>
      <c r="S21" s="1">
        <v>7</v>
      </c>
      <c r="T21" s="1">
        <v>3</v>
      </c>
      <c r="AC21" s="1">
        <v>33.023110299999999</v>
      </c>
      <c r="AR21" s="1">
        <v>34.005811199999997</v>
      </c>
      <c r="AS21" s="1">
        <v>34.023611600000002</v>
      </c>
      <c r="AT21" s="1">
        <v>34.507120499999999</v>
      </c>
      <c r="AU21" s="1">
        <v>33.011360699999997</v>
      </c>
      <c r="AV21" s="1">
        <v>33.023110299999999</v>
      </c>
      <c r="AW21" s="1">
        <v>34.005763299999998</v>
      </c>
      <c r="CL21" s="1">
        <v>4</v>
      </c>
      <c r="CM21" s="1">
        <v>1</v>
      </c>
      <c r="CN21" s="1" t="s">
        <v>146</v>
      </c>
      <c r="CO21" s="1" t="s">
        <v>99</v>
      </c>
      <c r="CQ21" s="1" t="s">
        <v>100</v>
      </c>
      <c r="CR21" s="1">
        <v>59.818272090000001</v>
      </c>
      <c r="CS21" s="1" t="s">
        <v>147</v>
      </c>
    </row>
    <row r="22" spans="2:97" x14ac:dyDescent="0.35">
      <c r="B22" s="1">
        <v>8</v>
      </c>
      <c r="C22" s="1">
        <v>8</v>
      </c>
      <c r="D22" s="1">
        <v>0</v>
      </c>
      <c r="E22" s="1" t="s">
        <v>116</v>
      </c>
      <c r="Q22" s="1">
        <v>0</v>
      </c>
      <c r="R22" s="1">
        <v>8</v>
      </c>
      <c r="S22" s="1">
        <v>8</v>
      </c>
      <c r="T22" s="1">
        <v>0</v>
      </c>
      <c r="AC22" s="1">
        <v>34.524142400000002</v>
      </c>
      <c r="AR22" s="1">
        <v>35.506036999999999</v>
      </c>
      <c r="AS22" s="1">
        <v>35.523435300000003</v>
      </c>
      <c r="AT22" s="1">
        <v>36.007370999999999</v>
      </c>
      <c r="AU22" s="1">
        <v>34.5109444</v>
      </c>
      <c r="AV22" s="1">
        <v>34.524142400000002</v>
      </c>
      <c r="AW22" s="1">
        <v>35.505971099999996</v>
      </c>
      <c r="CL22" s="1">
        <v>4</v>
      </c>
      <c r="CM22" s="1">
        <v>1</v>
      </c>
      <c r="CN22" s="1" t="s">
        <v>146</v>
      </c>
      <c r="CO22" s="1" t="s">
        <v>99</v>
      </c>
      <c r="CQ22" s="1" t="s">
        <v>100</v>
      </c>
      <c r="CR22" s="1">
        <v>59.818272090000001</v>
      </c>
      <c r="CS22" s="1" t="s">
        <v>147</v>
      </c>
    </row>
    <row r="23" spans="2:97" x14ac:dyDescent="0.35">
      <c r="B23" s="1">
        <v>9</v>
      </c>
      <c r="C23" s="1">
        <v>9</v>
      </c>
      <c r="D23" s="1">
        <v>0</v>
      </c>
      <c r="E23" s="1" t="s">
        <v>120</v>
      </c>
      <c r="Q23" s="1">
        <v>0</v>
      </c>
      <c r="R23" s="1">
        <v>9</v>
      </c>
      <c r="S23" s="1">
        <v>9</v>
      </c>
      <c r="T23" s="1">
        <v>4</v>
      </c>
      <c r="AC23" s="1">
        <v>36.023184499999999</v>
      </c>
      <c r="AR23" s="1">
        <v>37.007371300000003</v>
      </c>
      <c r="AS23" s="1">
        <v>37.023593200000001</v>
      </c>
      <c r="AT23" s="1">
        <v>37.507035700000003</v>
      </c>
      <c r="AU23" s="1">
        <v>36.011838500000003</v>
      </c>
      <c r="AV23" s="1">
        <v>36.023184499999999</v>
      </c>
      <c r="AW23" s="1">
        <v>37.0072683</v>
      </c>
      <c r="CL23" s="1">
        <v>4</v>
      </c>
      <c r="CM23" s="1">
        <v>1</v>
      </c>
      <c r="CN23" s="1" t="s">
        <v>146</v>
      </c>
      <c r="CO23" s="1" t="s">
        <v>99</v>
      </c>
      <c r="CQ23" s="1" t="s">
        <v>100</v>
      </c>
      <c r="CR23" s="1">
        <v>59.818272090000001</v>
      </c>
      <c r="CS23" s="1" t="s">
        <v>147</v>
      </c>
    </row>
    <row r="24" spans="2:97" x14ac:dyDescent="0.35">
      <c r="B24" s="1">
        <v>0</v>
      </c>
      <c r="C24" s="1">
        <v>0</v>
      </c>
      <c r="D24" s="1">
        <v>0</v>
      </c>
      <c r="F24" s="1" t="s">
        <v>130</v>
      </c>
      <c r="U24" s="1">
        <v>0</v>
      </c>
      <c r="V24" s="1">
        <v>0</v>
      </c>
      <c r="W24" s="1">
        <v>0</v>
      </c>
      <c r="X24" s="1">
        <v>3</v>
      </c>
      <c r="AC24" s="1">
        <v>37.582505400000002</v>
      </c>
      <c r="AR24" s="1">
        <v>38.510705899999998</v>
      </c>
      <c r="AS24" s="1">
        <v>38.523697200000001</v>
      </c>
      <c r="AT24" s="1">
        <v>39.007323</v>
      </c>
      <c r="AX24" s="1">
        <v>37.578974799999997</v>
      </c>
      <c r="AY24" s="1">
        <v>37.582505400000002</v>
      </c>
      <c r="AZ24" s="1">
        <v>38.510624300000003</v>
      </c>
      <c r="CL24" s="1">
        <v>4</v>
      </c>
      <c r="CM24" s="1">
        <v>1</v>
      </c>
      <c r="CN24" s="1" t="s">
        <v>146</v>
      </c>
      <c r="CO24" s="1" t="s">
        <v>99</v>
      </c>
      <c r="CQ24" s="1" t="s">
        <v>100</v>
      </c>
      <c r="CR24" s="1">
        <v>59.818272090000001</v>
      </c>
      <c r="CS24" s="1" t="s">
        <v>147</v>
      </c>
    </row>
    <row r="25" spans="2:97" x14ac:dyDescent="0.35">
      <c r="B25" s="1">
        <v>1</v>
      </c>
      <c r="C25" s="1">
        <v>1</v>
      </c>
      <c r="D25" s="1">
        <v>0</v>
      </c>
      <c r="F25" s="1" t="s">
        <v>131</v>
      </c>
      <c r="U25" s="1">
        <v>0</v>
      </c>
      <c r="V25" s="1">
        <v>1</v>
      </c>
      <c r="W25" s="1">
        <v>1</v>
      </c>
      <c r="X25" s="1">
        <v>2</v>
      </c>
      <c r="AC25" s="1">
        <v>39.022765900000003</v>
      </c>
      <c r="AR25" s="1">
        <v>40.0060711</v>
      </c>
      <c r="AS25" s="1">
        <v>40.023117599999999</v>
      </c>
      <c r="AT25" s="1">
        <v>40.506835000000002</v>
      </c>
      <c r="AX25" s="1">
        <v>39.012251499999998</v>
      </c>
      <c r="AY25" s="1">
        <v>39.022765900000003</v>
      </c>
      <c r="AZ25" s="1">
        <v>40.005998599999998</v>
      </c>
      <c r="CL25" s="1">
        <v>4</v>
      </c>
      <c r="CM25" s="1">
        <v>1</v>
      </c>
      <c r="CN25" s="1" t="s">
        <v>146</v>
      </c>
      <c r="CO25" s="1" t="s">
        <v>99</v>
      </c>
      <c r="CQ25" s="1" t="s">
        <v>100</v>
      </c>
      <c r="CR25" s="1">
        <v>59.818272090000001</v>
      </c>
      <c r="CS25" s="1" t="s">
        <v>147</v>
      </c>
    </row>
    <row r="26" spans="2:97" x14ac:dyDescent="0.35">
      <c r="B26" s="1">
        <v>2</v>
      </c>
      <c r="C26" s="1">
        <v>2</v>
      </c>
      <c r="D26" s="1">
        <v>0</v>
      </c>
      <c r="F26" s="1" t="s">
        <v>133</v>
      </c>
      <c r="U26" s="1">
        <v>0</v>
      </c>
      <c r="V26" s="1">
        <v>2</v>
      </c>
      <c r="W26" s="1">
        <v>2</v>
      </c>
      <c r="X26" s="1">
        <v>1</v>
      </c>
      <c r="AC26" s="1">
        <v>40.523193300000003</v>
      </c>
      <c r="AR26" s="1">
        <v>41.506265599999999</v>
      </c>
      <c r="AS26" s="1">
        <v>41.523167899999997</v>
      </c>
      <c r="AT26" s="1">
        <v>42.007884900000001</v>
      </c>
      <c r="AX26" s="1">
        <v>40.510226099999997</v>
      </c>
      <c r="AY26" s="1">
        <v>40.523193300000003</v>
      </c>
      <c r="AZ26" s="1">
        <v>41.506208999999998</v>
      </c>
      <c r="CL26" s="1">
        <v>4</v>
      </c>
      <c r="CM26" s="1">
        <v>1</v>
      </c>
      <c r="CN26" s="1" t="s">
        <v>146</v>
      </c>
      <c r="CO26" s="1" t="s">
        <v>99</v>
      </c>
      <c r="CQ26" s="1" t="s">
        <v>100</v>
      </c>
      <c r="CR26" s="1">
        <v>59.818272090000001</v>
      </c>
      <c r="CS26" s="1" t="s">
        <v>147</v>
      </c>
    </row>
    <row r="27" spans="2:97" x14ac:dyDescent="0.35">
      <c r="B27" s="1">
        <v>3</v>
      </c>
      <c r="C27" s="1">
        <v>3</v>
      </c>
      <c r="D27" s="1">
        <v>0</v>
      </c>
      <c r="F27" s="1" t="s">
        <v>128</v>
      </c>
      <c r="U27" s="1">
        <v>0</v>
      </c>
      <c r="V27" s="1">
        <v>3</v>
      </c>
      <c r="W27" s="1">
        <v>3</v>
      </c>
      <c r="X27" s="1">
        <v>6</v>
      </c>
      <c r="AC27" s="1">
        <v>42.023721799999997</v>
      </c>
      <c r="AR27" s="1">
        <v>43.008309400000002</v>
      </c>
      <c r="AS27" s="1">
        <v>43.023996400000001</v>
      </c>
      <c r="AT27" s="1">
        <v>43.5066956</v>
      </c>
      <c r="AX27" s="1">
        <v>42.012761699999999</v>
      </c>
      <c r="AY27" s="1">
        <v>42.023721799999997</v>
      </c>
      <c r="AZ27" s="1">
        <v>43.008205400000001</v>
      </c>
      <c r="CL27" s="1">
        <v>4</v>
      </c>
      <c r="CM27" s="1">
        <v>1</v>
      </c>
      <c r="CN27" s="1" t="s">
        <v>146</v>
      </c>
      <c r="CO27" s="1" t="s">
        <v>99</v>
      </c>
      <c r="CQ27" s="1" t="s">
        <v>100</v>
      </c>
      <c r="CR27" s="1">
        <v>59.818272090000001</v>
      </c>
      <c r="CS27" s="1" t="s">
        <v>147</v>
      </c>
    </row>
    <row r="28" spans="2:97" x14ac:dyDescent="0.35">
      <c r="B28" s="1">
        <v>4</v>
      </c>
      <c r="C28" s="1">
        <v>4</v>
      </c>
      <c r="D28" s="1">
        <v>0</v>
      </c>
      <c r="F28" s="1" t="s">
        <v>125</v>
      </c>
      <c r="U28" s="1">
        <v>0</v>
      </c>
      <c r="V28" s="1">
        <v>4</v>
      </c>
      <c r="W28" s="1">
        <v>4</v>
      </c>
      <c r="X28" s="1">
        <v>8</v>
      </c>
      <c r="AC28" s="1">
        <v>43.522530000000003</v>
      </c>
      <c r="AR28" s="1">
        <v>44.507084200000001</v>
      </c>
      <c r="AS28" s="1">
        <v>44.522268199999999</v>
      </c>
      <c r="AT28" s="1">
        <v>45.007192199999999</v>
      </c>
      <c r="AX28" s="1">
        <v>43.511548699999999</v>
      </c>
      <c r="AY28" s="1">
        <v>43.522530000000003</v>
      </c>
      <c r="AZ28" s="1">
        <v>44.507002900000003</v>
      </c>
      <c r="CL28" s="1">
        <v>4</v>
      </c>
      <c r="CM28" s="1">
        <v>1</v>
      </c>
      <c r="CN28" s="1" t="s">
        <v>146</v>
      </c>
      <c r="CO28" s="1" t="s">
        <v>99</v>
      </c>
      <c r="CQ28" s="1" t="s">
        <v>100</v>
      </c>
      <c r="CR28" s="1">
        <v>59.818272090000001</v>
      </c>
      <c r="CS28" s="1" t="s">
        <v>147</v>
      </c>
    </row>
    <row r="29" spans="2:97" x14ac:dyDescent="0.35">
      <c r="B29" s="1">
        <v>5</v>
      </c>
      <c r="C29" s="1">
        <v>5</v>
      </c>
      <c r="D29" s="1">
        <v>0</v>
      </c>
      <c r="F29" s="1" t="s">
        <v>126</v>
      </c>
      <c r="U29" s="1">
        <v>0</v>
      </c>
      <c r="V29" s="1">
        <v>5</v>
      </c>
      <c r="W29" s="1">
        <v>5</v>
      </c>
      <c r="X29" s="1">
        <v>4</v>
      </c>
      <c r="AC29" s="1">
        <v>45.023195600000001</v>
      </c>
      <c r="AR29" s="1">
        <v>46.007172599999997</v>
      </c>
      <c r="AS29" s="1">
        <v>46.023032499999999</v>
      </c>
      <c r="AT29" s="1">
        <v>46.508247300000001</v>
      </c>
      <c r="AX29" s="1">
        <v>45.011916599999999</v>
      </c>
      <c r="AY29" s="1">
        <v>45.023195600000001</v>
      </c>
      <c r="AZ29" s="1">
        <v>46.007080199999997</v>
      </c>
      <c r="CL29" s="1">
        <v>4</v>
      </c>
      <c r="CM29" s="1">
        <v>1</v>
      </c>
      <c r="CN29" s="1" t="s">
        <v>146</v>
      </c>
      <c r="CO29" s="1" t="s">
        <v>99</v>
      </c>
      <c r="CQ29" s="1" t="s">
        <v>100</v>
      </c>
      <c r="CR29" s="1">
        <v>59.818272090000001</v>
      </c>
      <c r="CS29" s="1" t="s">
        <v>147</v>
      </c>
    </row>
    <row r="30" spans="2:97" x14ac:dyDescent="0.35">
      <c r="B30" s="1">
        <v>6</v>
      </c>
      <c r="C30" s="1">
        <v>6</v>
      </c>
      <c r="D30" s="1">
        <v>0</v>
      </c>
      <c r="F30" s="1" t="s">
        <v>124</v>
      </c>
      <c r="U30" s="1">
        <v>0</v>
      </c>
      <c r="V30" s="1">
        <v>6</v>
      </c>
      <c r="W30" s="1">
        <v>6</v>
      </c>
      <c r="X30" s="1">
        <v>7</v>
      </c>
      <c r="AC30" s="1">
        <v>46.523586799999997</v>
      </c>
      <c r="AR30" s="1">
        <v>47.5084935</v>
      </c>
      <c r="AS30" s="1">
        <v>47.524140699999997</v>
      </c>
      <c r="AT30" s="1">
        <v>48.008049800000002</v>
      </c>
      <c r="AX30" s="1">
        <v>46.513666200000003</v>
      </c>
      <c r="AY30" s="1">
        <v>46.523586799999997</v>
      </c>
      <c r="AZ30" s="1">
        <v>47.508400600000002</v>
      </c>
      <c r="CL30" s="1">
        <v>4</v>
      </c>
      <c r="CM30" s="1">
        <v>1</v>
      </c>
      <c r="CN30" s="1" t="s">
        <v>146</v>
      </c>
      <c r="CO30" s="1" t="s">
        <v>99</v>
      </c>
      <c r="CQ30" s="1" t="s">
        <v>100</v>
      </c>
      <c r="CR30" s="1">
        <v>59.818272090000001</v>
      </c>
      <c r="CS30" s="1" t="s">
        <v>147</v>
      </c>
    </row>
    <row r="31" spans="2:97" x14ac:dyDescent="0.35">
      <c r="B31" s="1">
        <v>7</v>
      </c>
      <c r="C31" s="1">
        <v>7</v>
      </c>
      <c r="D31" s="1">
        <v>0</v>
      </c>
      <c r="F31" s="1" t="s">
        <v>127</v>
      </c>
      <c r="U31" s="1">
        <v>0</v>
      </c>
      <c r="V31" s="1">
        <v>7</v>
      </c>
      <c r="W31" s="1">
        <v>7</v>
      </c>
      <c r="X31" s="1">
        <v>5</v>
      </c>
      <c r="AC31" s="1">
        <v>48.0238911</v>
      </c>
      <c r="AR31" s="1">
        <v>49.0076891</v>
      </c>
      <c r="AS31" s="1">
        <v>49.023951699999998</v>
      </c>
      <c r="AT31" s="1">
        <v>49.508250099999998</v>
      </c>
      <c r="AX31" s="1">
        <v>48.013002</v>
      </c>
      <c r="AY31" s="1">
        <v>48.0238911</v>
      </c>
      <c r="AZ31" s="1">
        <v>49.007587899999997</v>
      </c>
      <c r="CL31" s="1">
        <v>4</v>
      </c>
      <c r="CM31" s="1">
        <v>1</v>
      </c>
      <c r="CN31" s="1" t="s">
        <v>146</v>
      </c>
      <c r="CO31" s="1" t="s">
        <v>99</v>
      </c>
      <c r="CQ31" s="1" t="s">
        <v>100</v>
      </c>
      <c r="CR31" s="1">
        <v>59.818272090000001</v>
      </c>
      <c r="CS31" s="1" t="s">
        <v>147</v>
      </c>
    </row>
    <row r="32" spans="2:97" x14ac:dyDescent="0.35">
      <c r="B32" s="1">
        <v>8</v>
      </c>
      <c r="C32" s="1">
        <v>8</v>
      </c>
      <c r="D32" s="1">
        <v>0</v>
      </c>
      <c r="F32" s="1" t="s">
        <v>132</v>
      </c>
      <c r="U32" s="1">
        <v>0</v>
      </c>
      <c r="V32" s="1">
        <v>8</v>
      </c>
      <c r="W32" s="1">
        <v>8</v>
      </c>
      <c r="X32" s="1">
        <v>9</v>
      </c>
      <c r="AC32" s="1">
        <v>49.524236399999999</v>
      </c>
      <c r="AR32" s="1">
        <v>50.507711499999999</v>
      </c>
      <c r="AS32" s="1">
        <v>50.524398499999997</v>
      </c>
      <c r="AT32" s="1">
        <v>51.007381600000002</v>
      </c>
      <c r="AX32" s="1">
        <v>49.512731100000003</v>
      </c>
      <c r="AY32" s="1">
        <v>49.524236399999999</v>
      </c>
      <c r="AZ32" s="1">
        <v>50.507595000000002</v>
      </c>
      <c r="CL32" s="1">
        <v>4</v>
      </c>
      <c r="CM32" s="1">
        <v>1</v>
      </c>
      <c r="CN32" s="1" t="s">
        <v>146</v>
      </c>
      <c r="CO32" s="1" t="s">
        <v>99</v>
      </c>
      <c r="CQ32" s="1" t="s">
        <v>100</v>
      </c>
      <c r="CR32" s="1">
        <v>59.818272090000001</v>
      </c>
      <c r="CS32" s="1" t="s">
        <v>147</v>
      </c>
    </row>
    <row r="33" spans="2:97" x14ac:dyDescent="0.35">
      <c r="B33" s="1">
        <v>9</v>
      </c>
      <c r="C33" s="1">
        <v>9</v>
      </c>
      <c r="D33" s="1">
        <v>0</v>
      </c>
      <c r="F33" s="1" t="s">
        <v>129</v>
      </c>
      <c r="U33" s="1">
        <v>0</v>
      </c>
      <c r="V33" s="1">
        <v>9</v>
      </c>
      <c r="W33" s="1">
        <v>9</v>
      </c>
      <c r="X33" s="1">
        <v>0</v>
      </c>
      <c r="AC33" s="1">
        <v>51.023206899999998</v>
      </c>
      <c r="AR33" s="1">
        <v>52.008158600000002</v>
      </c>
      <c r="AS33" s="1">
        <v>52.024260200000001</v>
      </c>
      <c r="AT33" s="1">
        <v>52.507131100000002</v>
      </c>
      <c r="AX33" s="1">
        <v>51.012024500000003</v>
      </c>
      <c r="AY33" s="1">
        <v>51.023206899999998</v>
      </c>
      <c r="AZ33" s="1">
        <v>52.008045299999999</v>
      </c>
      <c r="CL33" s="1">
        <v>4</v>
      </c>
      <c r="CM33" s="1">
        <v>1</v>
      </c>
      <c r="CN33" s="1" t="s">
        <v>146</v>
      </c>
      <c r="CO33" s="1" t="s">
        <v>99</v>
      </c>
      <c r="CQ33" s="1" t="s">
        <v>100</v>
      </c>
      <c r="CR33" s="1">
        <v>59.818272090000001</v>
      </c>
      <c r="CS33" s="1" t="s">
        <v>147</v>
      </c>
    </row>
    <row r="34" spans="2:97" x14ac:dyDescent="0.35">
      <c r="BA34" s="1">
        <v>52.507428500000003</v>
      </c>
      <c r="BB34" s="1">
        <v>52.5244438</v>
      </c>
      <c r="BC34" s="1">
        <v>52.5244438</v>
      </c>
      <c r="BD34" s="1">
        <v>55.5082728</v>
      </c>
      <c r="BE34" s="1" t="s">
        <v>102</v>
      </c>
      <c r="BF34" s="1">
        <v>2.9689644999999998</v>
      </c>
      <c r="BG34" s="1" t="s">
        <v>103</v>
      </c>
      <c r="CL34" s="1">
        <v>4</v>
      </c>
      <c r="CM34" s="1">
        <v>1</v>
      </c>
      <c r="CN34" s="1" t="s">
        <v>146</v>
      </c>
      <c r="CO34" s="1" t="s">
        <v>99</v>
      </c>
      <c r="CQ34" s="1" t="s">
        <v>100</v>
      </c>
      <c r="CR34" s="1">
        <v>59.818272090000001</v>
      </c>
      <c r="CS34" s="1" t="s">
        <v>147</v>
      </c>
    </row>
    <row r="35" spans="2:97" x14ac:dyDescent="0.35">
      <c r="BH35" s="1">
        <v>55.5083883</v>
      </c>
      <c r="BI35" s="1">
        <v>55.524176799999999</v>
      </c>
      <c r="BJ35" s="1">
        <v>55.524176799999999</v>
      </c>
      <c r="BK35" s="1">
        <v>59.2570835</v>
      </c>
      <c r="BL35" s="1">
        <v>3</v>
      </c>
      <c r="BM35" s="1">
        <v>3.7244549</v>
      </c>
      <c r="BN35" s="1" t="s">
        <v>103</v>
      </c>
      <c r="CL35" s="1">
        <v>4</v>
      </c>
      <c r="CM35" s="1">
        <v>1</v>
      </c>
      <c r="CN35" s="1" t="s">
        <v>146</v>
      </c>
      <c r="CO35" s="1" t="s">
        <v>99</v>
      </c>
      <c r="CQ35" s="1" t="s">
        <v>100</v>
      </c>
      <c r="CR35" s="1">
        <v>59.818272090000001</v>
      </c>
      <c r="CS35" s="1" t="s">
        <v>147</v>
      </c>
    </row>
    <row r="36" spans="2:97" x14ac:dyDescent="0.35">
      <c r="BO36" s="1">
        <v>59.2571844</v>
      </c>
      <c r="BP36" s="1">
        <v>59.272860700000003</v>
      </c>
      <c r="BQ36" s="1">
        <v>59.272860700000003</v>
      </c>
      <c r="BR36" s="1">
        <v>68.574206899999993</v>
      </c>
      <c r="BS36" s="1" t="s">
        <v>102</v>
      </c>
      <c r="BT36" s="1">
        <v>9.2941690000000001</v>
      </c>
      <c r="BU36" s="1" t="s">
        <v>103</v>
      </c>
      <c r="CL36" s="1">
        <v>4</v>
      </c>
      <c r="CM36" s="1">
        <v>1</v>
      </c>
      <c r="CN36" s="1" t="s">
        <v>146</v>
      </c>
      <c r="CO36" s="1" t="s">
        <v>99</v>
      </c>
      <c r="CQ36" s="1" t="s">
        <v>100</v>
      </c>
      <c r="CR36" s="1">
        <v>59.818272090000001</v>
      </c>
      <c r="CS36" s="1" t="s">
        <v>147</v>
      </c>
    </row>
    <row r="37" spans="2:97" x14ac:dyDescent="0.35">
      <c r="B37" s="1">
        <v>0</v>
      </c>
      <c r="C37" s="1">
        <v>0</v>
      </c>
      <c r="D37" s="1">
        <v>0</v>
      </c>
      <c r="G37" s="1" t="s">
        <v>139</v>
      </c>
      <c r="H37" s="1" t="s">
        <v>136</v>
      </c>
      <c r="I37" s="1" t="s">
        <v>136</v>
      </c>
      <c r="J37" s="1">
        <v>1</v>
      </c>
      <c r="K37" s="1">
        <v>1.0576428</v>
      </c>
      <c r="L37" s="1" t="s">
        <v>103</v>
      </c>
      <c r="Y37" s="1">
        <v>0</v>
      </c>
      <c r="Z37" s="1">
        <v>0</v>
      </c>
      <c r="AA37" s="1">
        <v>0</v>
      </c>
      <c r="AB37" s="1">
        <v>9</v>
      </c>
      <c r="AC37" s="1">
        <v>68.598436500000005</v>
      </c>
      <c r="AR37" s="1">
        <v>69.658293499999999</v>
      </c>
      <c r="AS37" s="1">
        <v>69.673481300000006</v>
      </c>
      <c r="AT37" s="1">
        <v>70.156733200000005</v>
      </c>
      <c r="BV37" s="1">
        <v>68.593209000000002</v>
      </c>
      <c r="BW37" s="1">
        <v>68.598436500000005</v>
      </c>
      <c r="BX37" s="1">
        <v>68.598436500000005</v>
      </c>
      <c r="BY37" s="1">
        <v>69.658149300000005</v>
      </c>
      <c r="BZ37" s="1" t="s">
        <v>136</v>
      </c>
      <c r="CA37" s="1">
        <v>1</v>
      </c>
      <c r="CB37" s="1">
        <v>1.0576428</v>
      </c>
      <c r="CC37" s="1" t="s">
        <v>103</v>
      </c>
      <c r="CD37" s="1">
        <v>70.173352199999997</v>
      </c>
      <c r="CL37" s="1">
        <v>4</v>
      </c>
      <c r="CM37" s="1">
        <v>1</v>
      </c>
      <c r="CN37" s="1" t="s">
        <v>146</v>
      </c>
      <c r="CO37" s="1" t="s">
        <v>99</v>
      </c>
      <c r="CQ37" s="1" t="s">
        <v>100</v>
      </c>
      <c r="CR37" s="1">
        <v>59.818272090000001</v>
      </c>
      <c r="CS37" s="1" t="s">
        <v>147</v>
      </c>
    </row>
    <row r="38" spans="2:97" x14ac:dyDescent="0.35">
      <c r="B38" s="1">
        <v>1</v>
      </c>
      <c r="C38" s="1">
        <v>1</v>
      </c>
      <c r="D38" s="1">
        <v>0</v>
      </c>
      <c r="G38" s="1" t="s">
        <v>130</v>
      </c>
      <c r="H38" s="1" t="s">
        <v>134</v>
      </c>
      <c r="I38" s="1" t="s">
        <v>136</v>
      </c>
      <c r="J38" s="1">
        <v>0</v>
      </c>
      <c r="K38" s="1">
        <v>1.1553494</v>
      </c>
      <c r="L38" s="1" t="s">
        <v>103</v>
      </c>
      <c r="Y38" s="1">
        <v>0</v>
      </c>
      <c r="Z38" s="1">
        <v>1</v>
      </c>
      <c r="AA38" s="1">
        <v>1</v>
      </c>
      <c r="AB38" s="1">
        <v>6</v>
      </c>
      <c r="AC38" s="1">
        <v>70.173352199999997</v>
      </c>
      <c r="AR38" s="1">
        <v>71.341556800000006</v>
      </c>
      <c r="AS38" s="1">
        <v>71.357601099999997</v>
      </c>
      <c r="AT38" s="1">
        <v>71.840965699999998</v>
      </c>
      <c r="BV38" s="1">
        <v>70.161738700000001</v>
      </c>
      <c r="BW38" s="1">
        <v>70.173352199999997</v>
      </c>
      <c r="BX38" s="1">
        <v>70.173352199999997</v>
      </c>
      <c r="BY38" s="1">
        <v>71.341367300000002</v>
      </c>
      <c r="BZ38" s="1" t="s">
        <v>136</v>
      </c>
      <c r="CA38" s="1">
        <v>0</v>
      </c>
      <c r="CB38" s="1">
        <v>1.1553494</v>
      </c>
      <c r="CC38" s="1" t="s">
        <v>103</v>
      </c>
      <c r="CD38" s="1">
        <v>71.856881099999995</v>
      </c>
      <c r="CL38" s="1">
        <v>4</v>
      </c>
      <c r="CM38" s="1">
        <v>1</v>
      </c>
      <c r="CN38" s="1" t="s">
        <v>146</v>
      </c>
      <c r="CO38" s="1" t="s">
        <v>99</v>
      </c>
      <c r="CQ38" s="1" t="s">
        <v>100</v>
      </c>
      <c r="CR38" s="1">
        <v>59.818272090000001</v>
      </c>
      <c r="CS38" s="1" t="s">
        <v>147</v>
      </c>
    </row>
    <row r="39" spans="2:97" x14ac:dyDescent="0.35">
      <c r="B39" s="1">
        <v>2</v>
      </c>
      <c r="C39" s="1">
        <v>2</v>
      </c>
      <c r="D39" s="1">
        <v>0</v>
      </c>
      <c r="G39" s="1" t="s">
        <v>129</v>
      </c>
      <c r="H39" s="1" t="s">
        <v>134</v>
      </c>
      <c r="I39" s="1" t="s">
        <v>134</v>
      </c>
      <c r="J39" s="1">
        <v>1</v>
      </c>
      <c r="K39" s="1">
        <v>0.81008049999999998</v>
      </c>
      <c r="L39" s="1" t="s">
        <v>103</v>
      </c>
      <c r="Y39" s="1">
        <v>0</v>
      </c>
      <c r="Z39" s="1">
        <v>2</v>
      </c>
      <c r="AA39" s="1">
        <v>2</v>
      </c>
      <c r="AB39" s="1">
        <v>5</v>
      </c>
      <c r="AC39" s="1">
        <v>71.856881099999995</v>
      </c>
      <c r="AR39" s="1">
        <v>72.674285400000002</v>
      </c>
      <c r="AS39" s="1">
        <v>72.690371499999998</v>
      </c>
      <c r="AT39" s="1">
        <v>73.174292300000005</v>
      </c>
      <c r="BV39" s="1">
        <v>71.845587499999993</v>
      </c>
      <c r="BW39" s="1">
        <v>71.856881099999995</v>
      </c>
      <c r="BX39" s="1">
        <v>71.856881099999995</v>
      </c>
      <c r="BY39" s="1">
        <v>72.674131799999998</v>
      </c>
      <c r="BZ39" s="1" t="s">
        <v>134</v>
      </c>
      <c r="CA39" s="1">
        <v>1</v>
      </c>
      <c r="CB39" s="1">
        <v>0.81008049999999998</v>
      </c>
      <c r="CC39" s="1" t="s">
        <v>103</v>
      </c>
      <c r="CD39" s="1">
        <v>73.189683200000005</v>
      </c>
      <c r="CL39" s="1">
        <v>4</v>
      </c>
      <c r="CM39" s="1">
        <v>1</v>
      </c>
      <c r="CN39" s="1" t="s">
        <v>146</v>
      </c>
      <c r="CO39" s="1" t="s">
        <v>99</v>
      </c>
      <c r="CQ39" s="1" t="s">
        <v>100</v>
      </c>
      <c r="CR39" s="1">
        <v>59.818272090000001</v>
      </c>
      <c r="CS39" s="1" t="s">
        <v>147</v>
      </c>
    </row>
    <row r="40" spans="2:97" x14ac:dyDescent="0.35">
      <c r="B40" s="1">
        <v>3</v>
      </c>
      <c r="C40" s="1">
        <v>3</v>
      </c>
      <c r="D40" s="1">
        <v>0</v>
      </c>
      <c r="G40" s="1" t="s">
        <v>137</v>
      </c>
      <c r="H40" s="1" t="s">
        <v>136</v>
      </c>
      <c r="I40" s="1" t="s">
        <v>136</v>
      </c>
      <c r="J40" s="1">
        <v>1</v>
      </c>
      <c r="K40" s="1">
        <v>0.9263749</v>
      </c>
      <c r="L40" s="1" t="s">
        <v>103</v>
      </c>
      <c r="Y40" s="1">
        <v>0</v>
      </c>
      <c r="Z40" s="1">
        <v>3</v>
      </c>
      <c r="AA40" s="1">
        <v>3</v>
      </c>
      <c r="AB40" s="1">
        <v>7</v>
      </c>
      <c r="AC40" s="1">
        <v>73.189683200000005</v>
      </c>
      <c r="AR40" s="1">
        <v>74.124314299999995</v>
      </c>
      <c r="AS40" s="1">
        <v>74.1399294</v>
      </c>
      <c r="AT40" s="1">
        <v>74.623427100000001</v>
      </c>
      <c r="BV40" s="1">
        <v>73.178971500000003</v>
      </c>
      <c r="BW40" s="1">
        <v>73.189683200000005</v>
      </c>
      <c r="BX40" s="1">
        <v>73.189683200000005</v>
      </c>
      <c r="BY40" s="1">
        <v>74.124189599999994</v>
      </c>
      <c r="BZ40" s="1" t="s">
        <v>136</v>
      </c>
      <c r="CA40" s="1">
        <v>1</v>
      </c>
      <c r="CB40" s="1">
        <v>0.9263749</v>
      </c>
      <c r="CC40" s="1" t="s">
        <v>103</v>
      </c>
      <c r="CD40" s="1">
        <v>74.639476999999999</v>
      </c>
      <c r="CL40" s="1">
        <v>4</v>
      </c>
      <c r="CM40" s="1">
        <v>1</v>
      </c>
      <c r="CN40" s="1" t="s">
        <v>146</v>
      </c>
      <c r="CO40" s="1" t="s">
        <v>99</v>
      </c>
      <c r="CQ40" s="1" t="s">
        <v>100</v>
      </c>
      <c r="CR40" s="1">
        <v>59.818272090000001</v>
      </c>
      <c r="CS40" s="1" t="s">
        <v>147</v>
      </c>
    </row>
    <row r="41" spans="2:97" x14ac:dyDescent="0.35">
      <c r="B41" s="1">
        <v>4</v>
      </c>
      <c r="C41" s="1">
        <v>4</v>
      </c>
      <c r="D41" s="1">
        <v>0</v>
      </c>
      <c r="G41" s="1" t="s">
        <v>106</v>
      </c>
      <c r="H41" s="1" t="s">
        <v>134</v>
      </c>
      <c r="I41" s="1" t="s">
        <v>136</v>
      </c>
      <c r="J41" s="1">
        <v>0</v>
      </c>
      <c r="K41" s="1">
        <v>0.89985280000000001</v>
      </c>
      <c r="L41" s="1" t="s">
        <v>103</v>
      </c>
      <c r="Y41" s="1">
        <v>0</v>
      </c>
      <c r="Z41" s="1">
        <v>4</v>
      </c>
      <c r="AA41" s="1">
        <v>4</v>
      </c>
      <c r="AB41" s="1">
        <v>3</v>
      </c>
      <c r="AC41" s="1">
        <v>74.639476999999999</v>
      </c>
      <c r="AR41" s="1">
        <v>75.542984000000004</v>
      </c>
      <c r="AS41" s="1">
        <v>75.556751399999996</v>
      </c>
      <c r="AT41" s="1">
        <v>76.041242600000004</v>
      </c>
      <c r="BV41" s="1">
        <v>74.628206500000005</v>
      </c>
      <c r="BW41" s="1">
        <v>74.639476999999999</v>
      </c>
      <c r="BX41" s="1">
        <v>74.639476999999999</v>
      </c>
      <c r="BY41" s="1">
        <v>75.542851900000002</v>
      </c>
      <c r="BZ41" s="1" t="s">
        <v>136</v>
      </c>
      <c r="CA41" s="1">
        <v>0</v>
      </c>
      <c r="CB41" s="1">
        <v>0.89985280000000001</v>
      </c>
      <c r="CC41" s="1" t="s">
        <v>103</v>
      </c>
      <c r="CD41" s="1">
        <v>76.056103300000004</v>
      </c>
      <c r="CL41" s="1">
        <v>4</v>
      </c>
      <c r="CM41" s="1">
        <v>1</v>
      </c>
      <c r="CN41" s="1" t="s">
        <v>146</v>
      </c>
      <c r="CO41" s="1" t="s">
        <v>99</v>
      </c>
      <c r="CQ41" s="1" t="s">
        <v>100</v>
      </c>
      <c r="CR41" s="1">
        <v>59.818272090000001</v>
      </c>
      <c r="CS41" s="1" t="s">
        <v>147</v>
      </c>
    </row>
    <row r="42" spans="2:97" x14ac:dyDescent="0.35">
      <c r="B42" s="1">
        <v>5</v>
      </c>
      <c r="C42" s="1">
        <v>5</v>
      </c>
      <c r="D42" s="1">
        <v>0</v>
      </c>
      <c r="G42" s="1" t="s">
        <v>135</v>
      </c>
      <c r="H42" s="1" t="s">
        <v>136</v>
      </c>
      <c r="I42" s="1" t="s">
        <v>136</v>
      </c>
      <c r="J42" s="1">
        <v>1</v>
      </c>
      <c r="K42" s="1">
        <v>0.83386179999999999</v>
      </c>
      <c r="L42" s="1" t="s">
        <v>103</v>
      </c>
      <c r="Y42" s="1">
        <v>0</v>
      </c>
      <c r="Z42" s="1">
        <v>5</v>
      </c>
      <c r="AA42" s="1">
        <v>5</v>
      </c>
      <c r="AB42" s="1">
        <v>8</v>
      </c>
      <c r="AC42" s="1">
        <v>76.056103300000004</v>
      </c>
      <c r="AR42" s="1">
        <v>76.891341600000004</v>
      </c>
      <c r="AS42" s="1">
        <v>76.907649699999993</v>
      </c>
      <c r="AT42" s="1">
        <v>77.391239999999996</v>
      </c>
      <c r="BV42" s="1">
        <v>76.046030500000001</v>
      </c>
      <c r="BW42" s="1">
        <v>76.056103300000004</v>
      </c>
      <c r="BX42" s="1">
        <v>76.056103300000004</v>
      </c>
      <c r="BY42" s="1">
        <v>76.891213300000004</v>
      </c>
      <c r="BZ42" s="1" t="s">
        <v>136</v>
      </c>
      <c r="CA42" s="1">
        <v>1</v>
      </c>
      <c r="CB42" s="1">
        <v>0.83386179999999999</v>
      </c>
      <c r="CC42" s="1" t="s">
        <v>103</v>
      </c>
      <c r="CD42" s="1">
        <v>77.406594200000001</v>
      </c>
      <c r="CL42" s="1">
        <v>4</v>
      </c>
      <c r="CM42" s="1">
        <v>1</v>
      </c>
      <c r="CN42" s="1" t="s">
        <v>146</v>
      </c>
      <c r="CO42" s="1" t="s">
        <v>99</v>
      </c>
      <c r="CQ42" s="1" t="s">
        <v>100</v>
      </c>
      <c r="CR42" s="1">
        <v>59.818272090000001</v>
      </c>
      <c r="CS42" s="1" t="s">
        <v>147</v>
      </c>
    </row>
    <row r="43" spans="2:97" x14ac:dyDescent="0.35">
      <c r="B43" s="1">
        <v>6</v>
      </c>
      <c r="C43" s="1">
        <v>6</v>
      </c>
      <c r="D43" s="1">
        <v>0</v>
      </c>
      <c r="G43" s="1" t="s">
        <v>138</v>
      </c>
      <c r="H43" s="1" t="s">
        <v>136</v>
      </c>
      <c r="I43" s="1" t="s">
        <v>136</v>
      </c>
      <c r="J43" s="1">
        <v>1</v>
      </c>
      <c r="K43" s="1">
        <v>1.2757257</v>
      </c>
      <c r="L43" s="1" t="s">
        <v>103</v>
      </c>
      <c r="Y43" s="1">
        <v>0</v>
      </c>
      <c r="Z43" s="1">
        <v>6</v>
      </c>
      <c r="AA43" s="1">
        <v>6</v>
      </c>
      <c r="AB43" s="1">
        <v>0</v>
      </c>
      <c r="AC43" s="1">
        <v>77.406594200000001</v>
      </c>
      <c r="AR43" s="1">
        <v>78.692050600000002</v>
      </c>
      <c r="AS43" s="1">
        <v>78.707955900000002</v>
      </c>
      <c r="AT43" s="1">
        <v>79.191502400000005</v>
      </c>
      <c r="BV43" s="1">
        <v>77.3959416</v>
      </c>
      <c r="BW43" s="1">
        <v>77.406594200000001</v>
      </c>
      <c r="BX43" s="1">
        <v>77.406594200000001</v>
      </c>
      <c r="BY43" s="1">
        <v>78.691871500000005</v>
      </c>
      <c r="BZ43" s="1" t="s">
        <v>136</v>
      </c>
      <c r="CA43" s="1">
        <v>1</v>
      </c>
      <c r="CB43" s="1">
        <v>1.2757257</v>
      </c>
      <c r="CC43" s="1" t="s">
        <v>103</v>
      </c>
      <c r="CD43" s="1">
        <v>79.206326700000005</v>
      </c>
      <c r="CL43" s="1">
        <v>4</v>
      </c>
      <c r="CM43" s="1">
        <v>1</v>
      </c>
      <c r="CN43" s="1" t="s">
        <v>146</v>
      </c>
      <c r="CO43" s="1" t="s">
        <v>99</v>
      </c>
      <c r="CQ43" s="1" t="s">
        <v>100</v>
      </c>
      <c r="CR43" s="1">
        <v>59.818272090000001</v>
      </c>
      <c r="CS43" s="1" t="s">
        <v>147</v>
      </c>
    </row>
    <row r="44" spans="2:97" x14ac:dyDescent="0.35">
      <c r="B44" s="1">
        <v>7</v>
      </c>
      <c r="C44" s="1">
        <v>7</v>
      </c>
      <c r="D44" s="1">
        <v>0</v>
      </c>
      <c r="G44" s="1" t="s">
        <v>116</v>
      </c>
      <c r="H44" s="1" t="s">
        <v>134</v>
      </c>
      <c r="I44" s="1" t="s">
        <v>136</v>
      </c>
      <c r="J44" s="1">
        <v>0</v>
      </c>
      <c r="K44" s="1">
        <v>0.64022849999999998</v>
      </c>
      <c r="L44" s="1" t="s">
        <v>103</v>
      </c>
      <c r="Y44" s="1">
        <v>0</v>
      </c>
      <c r="Z44" s="1">
        <v>7</v>
      </c>
      <c r="AA44" s="1">
        <v>7</v>
      </c>
      <c r="AB44" s="1">
        <v>4</v>
      </c>
      <c r="AC44" s="1">
        <v>79.206326700000005</v>
      </c>
      <c r="AR44" s="1">
        <v>79.858174099999999</v>
      </c>
      <c r="AS44" s="1">
        <v>79.873010899999997</v>
      </c>
      <c r="AT44" s="1">
        <v>80.3568511</v>
      </c>
      <c r="BV44" s="1">
        <v>79.195556600000003</v>
      </c>
      <c r="BW44" s="1">
        <v>79.206326700000005</v>
      </c>
      <c r="BX44" s="1">
        <v>79.206326700000005</v>
      </c>
      <c r="BY44" s="1">
        <v>79.8580264</v>
      </c>
      <c r="BZ44" s="1" t="s">
        <v>136</v>
      </c>
      <c r="CA44" s="1">
        <v>0</v>
      </c>
      <c r="CB44" s="1">
        <v>0.64022849999999998</v>
      </c>
      <c r="CC44" s="1" t="s">
        <v>103</v>
      </c>
      <c r="CD44" s="1">
        <v>80.3725448</v>
      </c>
      <c r="CL44" s="1">
        <v>4</v>
      </c>
      <c r="CM44" s="1">
        <v>1</v>
      </c>
      <c r="CN44" s="1" t="s">
        <v>146</v>
      </c>
      <c r="CO44" s="1" t="s">
        <v>99</v>
      </c>
      <c r="CQ44" s="1" t="s">
        <v>100</v>
      </c>
      <c r="CR44" s="1">
        <v>59.818272090000001</v>
      </c>
      <c r="CS44" s="1" t="s">
        <v>147</v>
      </c>
    </row>
    <row r="45" spans="2:97" x14ac:dyDescent="0.35">
      <c r="B45" s="1">
        <v>8</v>
      </c>
      <c r="C45" s="1">
        <v>8</v>
      </c>
      <c r="D45" s="1">
        <v>0</v>
      </c>
      <c r="G45" s="1" t="s">
        <v>141</v>
      </c>
      <c r="H45" s="1" t="s">
        <v>136</v>
      </c>
      <c r="I45" s="1" t="s">
        <v>136</v>
      </c>
      <c r="J45" s="1">
        <v>1</v>
      </c>
      <c r="K45" s="1">
        <v>0.8643035</v>
      </c>
      <c r="L45" s="1" t="s">
        <v>103</v>
      </c>
      <c r="Y45" s="1">
        <v>0</v>
      </c>
      <c r="Z45" s="1">
        <v>8</v>
      </c>
      <c r="AA45" s="1">
        <v>8</v>
      </c>
      <c r="AB45" s="1">
        <v>1</v>
      </c>
      <c r="AC45" s="1">
        <v>80.3725448</v>
      </c>
      <c r="AR45" s="1">
        <v>81.238093699999993</v>
      </c>
      <c r="AS45" s="1">
        <v>81.254613399999997</v>
      </c>
      <c r="AT45" s="1">
        <v>81.738216600000001</v>
      </c>
      <c r="BV45" s="1">
        <v>80.360247599999994</v>
      </c>
      <c r="BW45" s="1">
        <v>80.3725448</v>
      </c>
      <c r="BX45" s="1">
        <v>80.3725448</v>
      </c>
      <c r="BY45" s="1">
        <v>81.238033000000001</v>
      </c>
      <c r="BZ45" s="1" t="s">
        <v>136</v>
      </c>
      <c r="CA45" s="1">
        <v>1</v>
      </c>
      <c r="CB45" s="1">
        <v>0.8643035</v>
      </c>
      <c r="CC45" s="1" t="s">
        <v>103</v>
      </c>
      <c r="CD45" s="1">
        <v>81.754524799999999</v>
      </c>
      <c r="CL45" s="1">
        <v>4</v>
      </c>
      <c r="CM45" s="1">
        <v>1</v>
      </c>
      <c r="CN45" s="1" t="s">
        <v>146</v>
      </c>
      <c r="CO45" s="1" t="s">
        <v>99</v>
      </c>
      <c r="CQ45" s="1" t="s">
        <v>100</v>
      </c>
      <c r="CR45" s="1">
        <v>59.818272090000001</v>
      </c>
      <c r="CS45" s="1" t="s">
        <v>147</v>
      </c>
    </row>
    <row r="46" spans="2:97" x14ac:dyDescent="0.35">
      <c r="B46" s="1">
        <v>9</v>
      </c>
      <c r="C46" s="1">
        <v>9</v>
      </c>
      <c r="D46" s="1">
        <v>0</v>
      </c>
      <c r="G46" s="1" t="s">
        <v>140</v>
      </c>
      <c r="H46" s="1" t="s">
        <v>136</v>
      </c>
      <c r="I46" s="1" t="s">
        <v>136</v>
      </c>
      <c r="J46" s="1">
        <v>1</v>
      </c>
      <c r="K46" s="1">
        <v>0.78570969999999996</v>
      </c>
      <c r="L46" s="1" t="s">
        <v>103</v>
      </c>
      <c r="Y46" s="1">
        <v>0</v>
      </c>
      <c r="Z46" s="1">
        <v>9</v>
      </c>
      <c r="AA46" s="1">
        <v>9</v>
      </c>
      <c r="AB46" s="1">
        <v>2</v>
      </c>
      <c r="AC46" s="1">
        <v>81.754524799999999</v>
      </c>
      <c r="AR46" s="1">
        <v>82.556464700000006</v>
      </c>
      <c r="AS46" s="1">
        <v>82.572450799999999</v>
      </c>
      <c r="AT46" s="1">
        <v>83.055754300000004</v>
      </c>
      <c r="BV46" s="1">
        <v>81.740995999999996</v>
      </c>
      <c r="BW46" s="1">
        <v>81.754524799999999</v>
      </c>
      <c r="BX46" s="1">
        <v>81.754524799999999</v>
      </c>
      <c r="BY46" s="1">
        <v>82.556328300000004</v>
      </c>
      <c r="BZ46" s="1" t="s">
        <v>136</v>
      </c>
      <c r="CA46" s="1">
        <v>1</v>
      </c>
      <c r="CB46" s="1">
        <v>0.78570969999999996</v>
      </c>
      <c r="CC46" s="1" t="s">
        <v>103</v>
      </c>
      <c r="CD46" s="1">
        <v>83.072492600000004</v>
      </c>
      <c r="CL46" s="1">
        <v>4</v>
      </c>
      <c r="CM46" s="1">
        <v>1</v>
      </c>
      <c r="CN46" s="1" t="s">
        <v>146</v>
      </c>
      <c r="CO46" s="1" t="s">
        <v>99</v>
      </c>
      <c r="CQ46" s="1" t="s">
        <v>100</v>
      </c>
      <c r="CR46" s="1">
        <v>59.818272090000001</v>
      </c>
      <c r="CS46" s="1" t="s">
        <v>147</v>
      </c>
    </row>
    <row r="47" spans="2:97" x14ac:dyDescent="0.35">
      <c r="CE47" s="1">
        <v>83.055955800000007</v>
      </c>
      <c r="CF47" s="1">
        <v>83.072492600000004</v>
      </c>
      <c r="CG47" s="1">
        <v>83.072492600000004</v>
      </c>
      <c r="CH47" s="1">
        <v>88.058461500000007</v>
      </c>
      <c r="CI47" s="1" t="s">
        <v>102</v>
      </c>
      <c r="CJ47" s="1">
        <v>4.9834867000000003</v>
      </c>
      <c r="CK47" s="1" t="s">
        <v>103</v>
      </c>
      <c r="CL47" s="1">
        <v>4</v>
      </c>
      <c r="CM47" s="1">
        <v>1</v>
      </c>
      <c r="CN47" s="1" t="s">
        <v>146</v>
      </c>
      <c r="CO47" s="1" t="s">
        <v>99</v>
      </c>
      <c r="CQ47" s="1" t="s">
        <v>100</v>
      </c>
      <c r="CR47" s="1">
        <v>59.818272090000001</v>
      </c>
      <c r="CS47" s="1" t="s">
        <v>147</v>
      </c>
    </row>
    <row r="49" spans="10:11" x14ac:dyDescent="0.35">
      <c r="J49" s="2">
        <f>AVERAGE(J37:J46)</f>
        <v>0.7</v>
      </c>
      <c r="K49" s="2">
        <f>AVERAGE(K37:K46)</f>
        <v>0.92491296000000001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01CBC0-8CE5-4212-ABA0-8EB9987B611B}">
  <dimension ref="A1:CS49"/>
  <sheetViews>
    <sheetView topLeftCell="A35" workbookViewId="0">
      <selection activeCell="J44" sqref="J44"/>
    </sheetView>
  </sheetViews>
  <sheetFormatPr defaultRowHeight="14.5" x14ac:dyDescent="0.35"/>
  <cols>
    <col min="1" max="16384" width="8.7265625" style="1"/>
  </cols>
  <sheetData>
    <row r="1" spans="1:9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33</v>
      </c>
      <c r="AH1" s="1" t="s">
        <v>34</v>
      </c>
      <c r="AI1" s="1" t="s">
        <v>35</v>
      </c>
      <c r="AJ1" s="1" t="s">
        <v>36</v>
      </c>
      <c r="AK1" s="1" t="s">
        <v>37</v>
      </c>
      <c r="AL1" s="1" t="s">
        <v>38</v>
      </c>
      <c r="AM1" s="1" t="s">
        <v>39</v>
      </c>
      <c r="AN1" s="1" t="s">
        <v>40</v>
      </c>
      <c r="AO1" s="1" t="s">
        <v>41</v>
      </c>
      <c r="AP1" s="1" t="s">
        <v>42</v>
      </c>
      <c r="AQ1" s="1" t="s">
        <v>43</v>
      </c>
      <c r="AR1" s="1" t="s">
        <v>44</v>
      </c>
      <c r="AS1" s="1" t="s">
        <v>45</v>
      </c>
      <c r="AT1" s="1" t="s">
        <v>46</v>
      </c>
      <c r="AU1" s="1" t="s">
        <v>47</v>
      </c>
      <c r="AV1" s="1" t="s">
        <v>48</v>
      </c>
      <c r="AW1" s="1" t="s">
        <v>49</v>
      </c>
      <c r="AX1" s="1" t="s">
        <v>50</v>
      </c>
      <c r="AY1" s="1" t="s">
        <v>51</v>
      </c>
      <c r="AZ1" s="1" t="s">
        <v>52</v>
      </c>
      <c r="BA1" s="1" t="s">
        <v>53</v>
      </c>
      <c r="BB1" s="1" t="s">
        <v>54</v>
      </c>
      <c r="BC1" s="1" t="s">
        <v>55</v>
      </c>
      <c r="BD1" s="1" t="s">
        <v>56</v>
      </c>
      <c r="BE1" s="1" t="s">
        <v>57</v>
      </c>
      <c r="BF1" s="1" t="s">
        <v>58</v>
      </c>
      <c r="BG1" s="1" t="s">
        <v>59</v>
      </c>
      <c r="BH1" s="1" t="s">
        <v>60</v>
      </c>
      <c r="BI1" s="1" t="s">
        <v>61</v>
      </c>
      <c r="BJ1" s="1" t="s">
        <v>62</v>
      </c>
      <c r="BK1" s="1" t="s">
        <v>63</v>
      </c>
      <c r="BL1" s="1" t="s">
        <v>64</v>
      </c>
      <c r="BM1" s="1" t="s">
        <v>65</v>
      </c>
      <c r="BN1" s="1" t="s">
        <v>66</v>
      </c>
      <c r="BO1" s="1" t="s">
        <v>67</v>
      </c>
      <c r="BP1" s="1" t="s">
        <v>68</v>
      </c>
      <c r="BQ1" s="1" t="s">
        <v>69</v>
      </c>
      <c r="BR1" s="1" t="s">
        <v>70</v>
      </c>
      <c r="BS1" s="1" t="s">
        <v>71</v>
      </c>
      <c r="BT1" s="1" t="s">
        <v>72</v>
      </c>
      <c r="BU1" s="1" t="s">
        <v>73</v>
      </c>
      <c r="BV1" s="1" t="s">
        <v>74</v>
      </c>
      <c r="BW1" s="1" t="s">
        <v>75</v>
      </c>
      <c r="BX1" s="1" t="s">
        <v>76</v>
      </c>
      <c r="BY1" s="1" t="s">
        <v>77</v>
      </c>
      <c r="BZ1" s="1" t="s">
        <v>78</v>
      </c>
      <c r="CA1" s="1" t="s">
        <v>79</v>
      </c>
      <c r="CB1" s="1" t="s">
        <v>80</v>
      </c>
      <c r="CC1" s="1" t="s">
        <v>81</v>
      </c>
      <c r="CD1" s="1" t="s">
        <v>82</v>
      </c>
      <c r="CE1" s="1" t="s">
        <v>83</v>
      </c>
      <c r="CF1" s="1" t="s">
        <v>84</v>
      </c>
      <c r="CG1" s="1" t="s">
        <v>85</v>
      </c>
      <c r="CH1" s="1" t="s">
        <v>86</v>
      </c>
      <c r="CI1" s="1" t="s">
        <v>87</v>
      </c>
      <c r="CJ1" s="1" t="s">
        <v>88</v>
      </c>
      <c r="CK1" s="1" t="s">
        <v>89</v>
      </c>
      <c r="CL1" s="1" t="s">
        <v>90</v>
      </c>
      <c r="CM1" s="1" t="s">
        <v>91</v>
      </c>
      <c r="CN1" s="1" t="s">
        <v>92</v>
      </c>
      <c r="CO1" s="1" t="s">
        <v>93</v>
      </c>
      <c r="CP1" s="1" t="s">
        <v>94</v>
      </c>
      <c r="CQ1" s="1" t="s">
        <v>95</v>
      </c>
      <c r="CR1" s="1" t="s">
        <v>96</v>
      </c>
      <c r="CS1" s="1" t="s">
        <v>97</v>
      </c>
    </row>
    <row r="2" spans="1:97" x14ac:dyDescent="0.35">
      <c r="AE2" s="1">
        <v>3.2475E-3</v>
      </c>
      <c r="AF2" s="1">
        <v>1.8773600000000001E-2</v>
      </c>
      <c r="AG2" s="1">
        <v>3.0023198</v>
      </c>
      <c r="CL2" s="1">
        <v>5</v>
      </c>
      <c r="CM2" s="1">
        <v>1</v>
      </c>
      <c r="CN2" s="1" t="s">
        <v>148</v>
      </c>
      <c r="CO2" s="1" t="s">
        <v>99</v>
      </c>
      <c r="CQ2" s="1" t="s">
        <v>100</v>
      </c>
      <c r="CR2" s="1">
        <v>60.221990290000001</v>
      </c>
      <c r="CS2" s="1" t="s">
        <v>149</v>
      </c>
    </row>
    <row r="3" spans="1:97" x14ac:dyDescent="0.35">
      <c r="AH3" s="1">
        <v>3.0024451000000001</v>
      </c>
      <c r="AI3" s="1">
        <v>3.019072</v>
      </c>
      <c r="AJ3" s="1">
        <v>3.019072</v>
      </c>
      <c r="AK3" s="1">
        <v>3.9637421000000002</v>
      </c>
      <c r="AL3" s="1" t="s">
        <v>102</v>
      </c>
      <c r="AM3" s="1">
        <v>0.92699140000000002</v>
      </c>
      <c r="AN3" s="1" t="s">
        <v>103</v>
      </c>
      <c r="CL3" s="1">
        <v>5</v>
      </c>
      <c r="CM3" s="1">
        <v>1</v>
      </c>
      <c r="CN3" s="1" t="s">
        <v>148</v>
      </c>
      <c r="CO3" s="1" t="s">
        <v>99</v>
      </c>
      <c r="CQ3" s="1" t="s">
        <v>100</v>
      </c>
      <c r="CR3" s="1">
        <v>60.221990290000001</v>
      </c>
      <c r="CS3" s="1" t="s">
        <v>149</v>
      </c>
    </row>
    <row r="4" spans="1:97" x14ac:dyDescent="0.35">
      <c r="A4" s="1" t="s">
        <v>105</v>
      </c>
      <c r="B4" s="1">
        <v>0</v>
      </c>
      <c r="C4" s="1">
        <v>0</v>
      </c>
      <c r="D4" s="1">
        <v>0</v>
      </c>
      <c r="M4" s="1">
        <v>0</v>
      </c>
      <c r="N4" s="1">
        <v>0</v>
      </c>
      <c r="O4" s="1">
        <v>0</v>
      </c>
      <c r="P4" s="1">
        <v>1</v>
      </c>
      <c r="AC4" s="1">
        <v>3.9776777000000001</v>
      </c>
      <c r="AO4" s="1">
        <v>3.9737173000000001</v>
      </c>
      <c r="AP4" s="1">
        <v>3.9776777000000001</v>
      </c>
      <c r="AQ4" s="1">
        <v>4.9698666999999999</v>
      </c>
      <c r="AR4" s="1">
        <v>4.9699333000000001</v>
      </c>
      <c r="AS4" s="1">
        <v>4.9864505000000001</v>
      </c>
      <c r="AT4" s="1">
        <v>5.4711154999999998</v>
      </c>
      <c r="CL4" s="1">
        <v>5</v>
      </c>
      <c r="CM4" s="1">
        <v>1</v>
      </c>
      <c r="CN4" s="1" t="s">
        <v>148</v>
      </c>
      <c r="CO4" s="1" t="s">
        <v>99</v>
      </c>
      <c r="CQ4" s="1" t="s">
        <v>100</v>
      </c>
      <c r="CR4" s="1">
        <v>60.221990290000001</v>
      </c>
      <c r="CS4" s="1" t="s">
        <v>149</v>
      </c>
    </row>
    <row r="5" spans="1:97" x14ac:dyDescent="0.35">
      <c r="A5" s="1" t="s">
        <v>113</v>
      </c>
      <c r="B5" s="1">
        <v>1</v>
      </c>
      <c r="C5" s="1">
        <v>1</v>
      </c>
      <c r="D5" s="1">
        <v>0</v>
      </c>
      <c r="M5" s="1">
        <v>0</v>
      </c>
      <c r="N5" s="1">
        <v>1</v>
      </c>
      <c r="O5" s="1">
        <v>1</v>
      </c>
      <c r="P5" s="1">
        <v>5</v>
      </c>
      <c r="AC5" s="1">
        <v>5.4851720000000004</v>
      </c>
      <c r="AO5" s="1">
        <v>5.4770665999999997</v>
      </c>
      <c r="AP5" s="1">
        <v>5.4851720000000004</v>
      </c>
      <c r="AQ5" s="1">
        <v>6.4700705000000003</v>
      </c>
      <c r="AR5" s="1">
        <v>6.4701610000000001</v>
      </c>
      <c r="AS5" s="1">
        <v>6.4870844999999999</v>
      </c>
      <c r="AT5" s="1">
        <v>6.9683846000000003</v>
      </c>
      <c r="CL5" s="1">
        <v>5</v>
      </c>
      <c r="CM5" s="1">
        <v>1</v>
      </c>
      <c r="CN5" s="1" t="s">
        <v>148</v>
      </c>
      <c r="CO5" s="1" t="s">
        <v>99</v>
      </c>
      <c r="CQ5" s="1" t="s">
        <v>100</v>
      </c>
      <c r="CR5" s="1">
        <v>60.221990290000001</v>
      </c>
      <c r="CS5" s="1" t="s">
        <v>149</v>
      </c>
    </row>
    <row r="6" spans="1:97" x14ac:dyDescent="0.35">
      <c r="A6" s="1" t="s">
        <v>107</v>
      </c>
      <c r="B6" s="1">
        <v>2</v>
      </c>
      <c r="C6" s="1">
        <v>2</v>
      </c>
      <c r="D6" s="1">
        <v>0</v>
      </c>
      <c r="M6" s="1">
        <v>0</v>
      </c>
      <c r="N6" s="1">
        <v>2</v>
      </c>
      <c r="O6" s="1">
        <v>2</v>
      </c>
      <c r="P6" s="1">
        <v>9</v>
      </c>
      <c r="AC6" s="1">
        <v>6.9846715000000001</v>
      </c>
      <c r="AO6" s="1">
        <v>6.9707989000000001</v>
      </c>
      <c r="AP6" s="1">
        <v>6.9846715000000001</v>
      </c>
      <c r="AQ6" s="1">
        <v>7.9705864999999996</v>
      </c>
      <c r="AR6" s="1">
        <v>7.9706720000000004</v>
      </c>
      <c r="AS6" s="1">
        <v>7.9873161000000001</v>
      </c>
      <c r="AT6" s="1">
        <v>8.4715927999999998</v>
      </c>
      <c r="CL6" s="1">
        <v>5</v>
      </c>
      <c r="CM6" s="1">
        <v>1</v>
      </c>
      <c r="CN6" s="1" t="s">
        <v>148</v>
      </c>
      <c r="CO6" s="1" t="s">
        <v>99</v>
      </c>
      <c r="CQ6" s="1" t="s">
        <v>100</v>
      </c>
      <c r="CR6" s="1">
        <v>60.221990290000001</v>
      </c>
      <c r="CS6" s="1" t="s">
        <v>149</v>
      </c>
    </row>
    <row r="7" spans="1:97" x14ac:dyDescent="0.35">
      <c r="A7" s="1" t="s">
        <v>108</v>
      </c>
      <c r="B7" s="1">
        <v>3</v>
      </c>
      <c r="C7" s="1">
        <v>3</v>
      </c>
      <c r="D7" s="1">
        <v>0</v>
      </c>
      <c r="M7" s="1">
        <v>0</v>
      </c>
      <c r="N7" s="1">
        <v>3</v>
      </c>
      <c r="O7" s="1">
        <v>3</v>
      </c>
      <c r="P7" s="1">
        <v>4</v>
      </c>
      <c r="AC7" s="1">
        <v>8.4868266000000006</v>
      </c>
      <c r="AO7" s="1">
        <v>8.4766271</v>
      </c>
      <c r="AP7" s="1">
        <v>8.4868266000000006</v>
      </c>
      <c r="AQ7" s="1">
        <v>9.4690470999999992</v>
      </c>
      <c r="AR7" s="1">
        <v>9.4691329999999994</v>
      </c>
      <c r="AS7" s="1">
        <v>9.4864438</v>
      </c>
      <c r="AT7" s="1">
        <v>9.9699516999999993</v>
      </c>
      <c r="CL7" s="1">
        <v>5</v>
      </c>
      <c r="CM7" s="1">
        <v>1</v>
      </c>
      <c r="CN7" s="1" t="s">
        <v>148</v>
      </c>
      <c r="CO7" s="1" t="s">
        <v>99</v>
      </c>
      <c r="CQ7" s="1" t="s">
        <v>100</v>
      </c>
      <c r="CR7" s="1">
        <v>60.221990290000001</v>
      </c>
      <c r="CS7" s="1" t="s">
        <v>149</v>
      </c>
    </row>
    <row r="8" spans="1:97" x14ac:dyDescent="0.35">
      <c r="A8" s="1" t="s">
        <v>109</v>
      </c>
      <c r="B8" s="1">
        <v>4</v>
      </c>
      <c r="C8" s="1">
        <v>4</v>
      </c>
      <c r="D8" s="1">
        <v>0</v>
      </c>
      <c r="M8" s="1">
        <v>0</v>
      </c>
      <c r="N8" s="1">
        <v>4</v>
      </c>
      <c r="O8" s="1">
        <v>4</v>
      </c>
      <c r="P8" s="1">
        <v>8</v>
      </c>
      <c r="AC8" s="1">
        <v>9.9857543</v>
      </c>
      <c r="AO8" s="1">
        <v>9.9739997999999996</v>
      </c>
      <c r="AP8" s="1">
        <v>9.9857543</v>
      </c>
      <c r="AQ8" s="1">
        <v>10.9690256</v>
      </c>
      <c r="AR8" s="1">
        <v>10.9690745</v>
      </c>
      <c r="AS8" s="1">
        <v>10.9861878</v>
      </c>
      <c r="AT8" s="1">
        <v>11.4693106</v>
      </c>
      <c r="CL8" s="1">
        <v>5</v>
      </c>
      <c r="CM8" s="1">
        <v>1</v>
      </c>
      <c r="CN8" s="1" t="s">
        <v>148</v>
      </c>
      <c r="CO8" s="1" t="s">
        <v>99</v>
      </c>
      <c r="CQ8" s="1" t="s">
        <v>100</v>
      </c>
      <c r="CR8" s="1">
        <v>60.221990290000001</v>
      </c>
      <c r="CS8" s="1" t="s">
        <v>149</v>
      </c>
    </row>
    <row r="9" spans="1:97" x14ac:dyDescent="0.35">
      <c r="A9" s="1" t="s">
        <v>111</v>
      </c>
      <c r="B9" s="1">
        <v>5</v>
      </c>
      <c r="C9" s="1">
        <v>5</v>
      </c>
      <c r="D9" s="1">
        <v>0</v>
      </c>
      <c r="M9" s="1">
        <v>0</v>
      </c>
      <c r="N9" s="1">
        <v>5</v>
      </c>
      <c r="O9" s="1">
        <v>5</v>
      </c>
      <c r="P9" s="1">
        <v>3</v>
      </c>
      <c r="AC9" s="1">
        <v>11.4852974</v>
      </c>
      <c r="AO9" s="1">
        <v>11.473423</v>
      </c>
      <c r="AP9" s="1">
        <v>11.4852974</v>
      </c>
      <c r="AQ9" s="1">
        <v>12.470046</v>
      </c>
      <c r="AR9" s="1">
        <v>12.470120100000001</v>
      </c>
      <c r="AS9" s="1">
        <v>12.4852471</v>
      </c>
      <c r="AT9" s="1">
        <v>12.969086300000001</v>
      </c>
      <c r="CL9" s="1">
        <v>5</v>
      </c>
      <c r="CM9" s="1">
        <v>1</v>
      </c>
      <c r="CN9" s="1" t="s">
        <v>148</v>
      </c>
      <c r="CO9" s="1" t="s">
        <v>99</v>
      </c>
      <c r="CQ9" s="1" t="s">
        <v>100</v>
      </c>
      <c r="CR9" s="1">
        <v>60.221990290000001</v>
      </c>
      <c r="CS9" s="1" t="s">
        <v>149</v>
      </c>
    </row>
    <row r="10" spans="1:97" x14ac:dyDescent="0.35">
      <c r="A10" s="1" t="s">
        <v>110</v>
      </c>
      <c r="B10" s="1">
        <v>6</v>
      </c>
      <c r="C10" s="1">
        <v>6</v>
      </c>
      <c r="D10" s="1">
        <v>0</v>
      </c>
      <c r="M10" s="1">
        <v>0</v>
      </c>
      <c r="N10" s="1">
        <v>6</v>
      </c>
      <c r="O10" s="1">
        <v>6</v>
      </c>
      <c r="P10" s="1">
        <v>7</v>
      </c>
      <c r="AC10" s="1">
        <v>12.9855301</v>
      </c>
      <c r="AO10" s="1">
        <v>12.972963200000001</v>
      </c>
      <c r="AP10" s="1">
        <v>12.9855301</v>
      </c>
      <c r="AQ10" s="1">
        <v>13.9714422</v>
      </c>
      <c r="AR10" s="1">
        <v>13.9715518</v>
      </c>
      <c r="AS10" s="1">
        <v>13.9875957</v>
      </c>
      <c r="AT10" s="1">
        <v>14.471055</v>
      </c>
      <c r="CL10" s="1">
        <v>5</v>
      </c>
      <c r="CM10" s="1">
        <v>1</v>
      </c>
      <c r="CN10" s="1" t="s">
        <v>148</v>
      </c>
      <c r="CO10" s="1" t="s">
        <v>99</v>
      </c>
      <c r="CQ10" s="1" t="s">
        <v>100</v>
      </c>
      <c r="CR10" s="1">
        <v>60.221990290000001</v>
      </c>
      <c r="CS10" s="1" t="s">
        <v>149</v>
      </c>
    </row>
    <row r="11" spans="1:97" x14ac:dyDescent="0.35">
      <c r="A11" s="1" t="s">
        <v>104</v>
      </c>
      <c r="B11" s="1">
        <v>7</v>
      </c>
      <c r="C11" s="1">
        <v>7</v>
      </c>
      <c r="D11" s="1">
        <v>0</v>
      </c>
      <c r="M11" s="1">
        <v>0</v>
      </c>
      <c r="N11" s="1">
        <v>7</v>
      </c>
      <c r="O11" s="1">
        <v>7</v>
      </c>
      <c r="P11" s="1">
        <v>2</v>
      </c>
      <c r="AC11" s="1">
        <v>14.485838599999999</v>
      </c>
      <c r="AO11" s="1">
        <v>14.4746585</v>
      </c>
      <c r="AP11" s="1">
        <v>14.485838599999999</v>
      </c>
      <c r="AQ11" s="1">
        <v>15.4682525</v>
      </c>
      <c r="AR11" s="1">
        <v>15.4683039</v>
      </c>
      <c r="AS11" s="1">
        <v>15.486162200000001</v>
      </c>
      <c r="AT11" s="1">
        <v>15.9698133</v>
      </c>
      <c r="CL11" s="1">
        <v>5</v>
      </c>
      <c r="CM11" s="1">
        <v>1</v>
      </c>
      <c r="CN11" s="1" t="s">
        <v>148</v>
      </c>
      <c r="CO11" s="1" t="s">
        <v>99</v>
      </c>
      <c r="CQ11" s="1" t="s">
        <v>100</v>
      </c>
      <c r="CR11" s="1">
        <v>60.221990290000001</v>
      </c>
      <c r="CS11" s="1" t="s">
        <v>149</v>
      </c>
    </row>
    <row r="12" spans="1:97" x14ac:dyDescent="0.35">
      <c r="A12" s="1" t="s">
        <v>112</v>
      </c>
      <c r="B12" s="1">
        <v>8</v>
      </c>
      <c r="C12" s="1">
        <v>8</v>
      </c>
      <c r="D12" s="1">
        <v>0</v>
      </c>
      <c r="M12" s="1">
        <v>0</v>
      </c>
      <c r="N12" s="1">
        <v>8</v>
      </c>
      <c r="O12" s="1">
        <v>8</v>
      </c>
      <c r="P12" s="1">
        <v>6</v>
      </c>
      <c r="AC12" s="1">
        <v>15.985970999999999</v>
      </c>
      <c r="AO12" s="1">
        <v>15.974807999999999</v>
      </c>
      <c r="AP12" s="1">
        <v>15.985970999999999</v>
      </c>
      <c r="AQ12" s="1">
        <v>16.9699259</v>
      </c>
      <c r="AR12" s="1">
        <v>16.9700129</v>
      </c>
      <c r="AS12" s="1">
        <v>16.986634299999999</v>
      </c>
      <c r="AT12" s="1">
        <v>17.4699393</v>
      </c>
      <c r="CL12" s="1">
        <v>5</v>
      </c>
      <c r="CM12" s="1">
        <v>1</v>
      </c>
      <c r="CN12" s="1" t="s">
        <v>148</v>
      </c>
      <c r="CO12" s="1" t="s">
        <v>99</v>
      </c>
      <c r="CQ12" s="1" t="s">
        <v>100</v>
      </c>
      <c r="CR12" s="1">
        <v>60.221990290000001</v>
      </c>
      <c r="CS12" s="1" t="s">
        <v>149</v>
      </c>
    </row>
    <row r="13" spans="1:97" x14ac:dyDescent="0.35">
      <c r="A13" s="1" t="s">
        <v>106</v>
      </c>
      <c r="B13" s="1">
        <v>9</v>
      </c>
      <c r="C13" s="1">
        <v>9</v>
      </c>
      <c r="D13" s="1">
        <v>0</v>
      </c>
      <c r="M13" s="1">
        <v>0</v>
      </c>
      <c r="N13" s="1">
        <v>9</v>
      </c>
      <c r="O13" s="1">
        <v>9</v>
      </c>
      <c r="P13" s="1">
        <v>0</v>
      </c>
      <c r="AC13" s="1">
        <v>17.486054500000002</v>
      </c>
      <c r="AO13" s="1">
        <v>17.474225499999999</v>
      </c>
      <c r="AP13" s="1">
        <v>17.486054500000002</v>
      </c>
      <c r="AQ13" s="1">
        <v>18.469821799999998</v>
      </c>
      <c r="AR13" s="1">
        <v>18.469929799999999</v>
      </c>
      <c r="AS13" s="1">
        <v>18.48574</v>
      </c>
      <c r="AT13" s="1">
        <v>18.967953000000001</v>
      </c>
      <c r="CL13" s="1">
        <v>5</v>
      </c>
      <c r="CM13" s="1">
        <v>1</v>
      </c>
      <c r="CN13" s="1" t="s">
        <v>148</v>
      </c>
      <c r="CO13" s="1" t="s">
        <v>99</v>
      </c>
      <c r="CQ13" s="1" t="s">
        <v>100</v>
      </c>
      <c r="CR13" s="1">
        <v>60.221990290000001</v>
      </c>
      <c r="CS13" s="1" t="s">
        <v>149</v>
      </c>
    </row>
    <row r="14" spans="1:97" x14ac:dyDescent="0.35">
      <c r="B14" s="1">
        <v>0</v>
      </c>
      <c r="C14" s="1">
        <v>0</v>
      </c>
      <c r="D14" s="1">
        <v>0</v>
      </c>
      <c r="E14" s="1" t="s">
        <v>119</v>
      </c>
      <c r="Q14" s="1">
        <v>0</v>
      </c>
      <c r="R14" s="1">
        <v>0</v>
      </c>
      <c r="S14" s="1">
        <v>0</v>
      </c>
      <c r="T14" s="1">
        <v>9</v>
      </c>
      <c r="AC14" s="1">
        <v>18.984141600000001</v>
      </c>
      <c r="AR14" s="1">
        <v>19.969787199999999</v>
      </c>
      <c r="AS14" s="1">
        <v>19.987186099999999</v>
      </c>
      <c r="AT14" s="1">
        <v>20.470184</v>
      </c>
      <c r="AU14" s="1">
        <v>18.974739700000001</v>
      </c>
      <c r="AV14" s="1">
        <v>18.984141600000001</v>
      </c>
      <c r="AW14" s="1">
        <v>19.969684099999998</v>
      </c>
      <c r="CL14" s="1">
        <v>5</v>
      </c>
      <c r="CM14" s="1">
        <v>1</v>
      </c>
      <c r="CN14" s="1" t="s">
        <v>148</v>
      </c>
      <c r="CO14" s="1" t="s">
        <v>99</v>
      </c>
      <c r="CQ14" s="1" t="s">
        <v>100</v>
      </c>
      <c r="CR14" s="1">
        <v>60.221990290000001</v>
      </c>
      <c r="CS14" s="1" t="s">
        <v>149</v>
      </c>
    </row>
    <row r="15" spans="1:97" x14ac:dyDescent="0.35">
      <c r="B15" s="1">
        <v>1</v>
      </c>
      <c r="C15" s="1">
        <v>1</v>
      </c>
      <c r="D15" s="1">
        <v>0</v>
      </c>
      <c r="E15" s="1" t="s">
        <v>116</v>
      </c>
      <c r="Q15" s="1">
        <v>0</v>
      </c>
      <c r="R15" s="1">
        <v>1</v>
      </c>
      <c r="S15" s="1">
        <v>1</v>
      </c>
      <c r="T15" s="1">
        <v>0</v>
      </c>
      <c r="AC15" s="1">
        <v>20.486261899999999</v>
      </c>
      <c r="AR15" s="1">
        <v>21.469608000000001</v>
      </c>
      <c r="AS15" s="1">
        <v>21.486205099999999</v>
      </c>
      <c r="AT15" s="1">
        <v>21.969902699999999</v>
      </c>
      <c r="AU15" s="1">
        <v>20.474325400000001</v>
      </c>
      <c r="AV15" s="1">
        <v>20.486261899999999</v>
      </c>
      <c r="AW15" s="1">
        <v>21.469502599999998</v>
      </c>
      <c r="CL15" s="1">
        <v>5</v>
      </c>
      <c r="CM15" s="1">
        <v>1</v>
      </c>
      <c r="CN15" s="1" t="s">
        <v>148</v>
      </c>
      <c r="CO15" s="1" t="s">
        <v>99</v>
      </c>
      <c r="CQ15" s="1" t="s">
        <v>100</v>
      </c>
      <c r="CR15" s="1">
        <v>60.221990290000001</v>
      </c>
      <c r="CS15" s="1" t="s">
        <v>149</v>
      </c>
    </row>
    <row r="16" spans="1:97" x14ac:dyDescent="0.35">
      <c r="B16" s="1">
        <v>2</v>
      </c>
      <c r="C16" s="1">
        <v>2</v>
      </c>
      <c r="D16" s="1">
        <v>0</v>
      </c>
      <c r="E16" s="1" t="s">
        <v>122</v>
      </c>
      <c r="Q16" s="1">
        <v>0</v>
      </c>
      <c r="R16" s="1">
        <v>2</v>
      </c>
      <c r="S16" s="1">
        <v>2</v>
      </c>
      <c r="T16" s="1">
        <v>8</v>
      </c>
      <c r="AC16" s="1">
        <v>21.985842399999999</v>
      </c>
      <c r="AR16" s="1">
        <v>22.969251499999999</v>
      </c>
      <c r="AS16" s="1">
        <v>22.9863672</v>
      </c>
      <c r="AT16" s="1">
        <v>23.4701345</v>
      </c>
      <c r="AU16" s="1">
        <v>21.974690800000001</v>
      </c>
      <c r="AV16" s="1">
        <v>21.985842399999999</v>
      </c>
      <c r="AW16" s="1">
        <v>22.9691695</v>
      </c>
      <c r="CL16" s="1">
        <v>5</v>
      </c>
      <c r="CM16" s="1">
        <v>1</v>
      </c>
      <c r="CN16" s="1" t="s">
        <v>148</v>
      </c>
      <c r="CO16" s="1" t="s">
        <v>99</v>
      </c>
      <c r="CQ16" s="1" t="s">
        <v>100</v>
      </c>
      <c r="CR16" s="1">
        <v>60.221990290000001</v>
      </c>
      <c r="CS16" s="1" t="s">
        <v>149</v>
      </c>
    </row>
    <row r="17" spans="2:97" x14ac:dyDescent="0.35">
      <c r="B17" s="1">
        <v>3</v>
      </c>
      <c r="C17" s="1">
        <v>3</v>
      </c>
      <c r="D17" s="1">
        <v>0</v>
      </c>
      <c r="E17" s="1" t="s">
        <v>114</v>
      </c>
      <c r="Q17" s="1">
        <v>0</v>
      </c>
      <c r="R17" s="1">
        <v>3</v>
      </c>
      <c r="S17" s="1">
        <v>3</v>
      </c>
      <c r="T17" s="1">
        <v>5</v>
      </c>
      <c r="AC17" s="1">
        <v>23.4852284</v>
      </c>
      <c r="AR17" s="1">
        <v>24.4697149</v>
      </c>
      <c r="AS17" s="1">
        <v>24.485959099999999</v>
      </c>
      <c r="AT17" s="1">
        <v>24.970642699999999</v>
      </c>
      <c r="AU17" s="1">
        <v>23.475205200000001</v>
      </c>
      <c r="AV17" s="1">
        <v>23.4852284</v>
      </c>
      <c r="AW17" s="1">
        <v>24.4696319</v>
      </c>
      <c r="CL17" s="1">
        <v>5</v>
      </c>
      <c r="CM17" s="1">
        <v>1</v>
      </c>
      <c r="CN17" s="1" t="s">
        <v>148</v>
      </c>
      <c r="CO17" s="1" t="s">
        <v>99</v>
      </c>
      <c r="CQ17" s="1" t="s">
        <v>100</v>
      </c>
      <c r="CR17" s="1">
        <v>60.221990290000001</v>
      </c>
      <c r="CS17" s="1" t="s">
        <v>149</v>
      </c>
    </row>
    <row r="18" spans="2:97" x14ac:dyDescent="0.35">
      <c r="B18" s="1">
        <v>4</v>
      </c>
      <c r="C18" s="1">
        <v>4</v>
      </c>
      <c r="D18" s="1">
        <v>0</v>
      </c>
      <c r="E18" s="1" t="s">
        <v>115</v>
      </c>
      <c r="Q18" s="1">
        <v>0</v>
      </c>
      <c r="R18" s="1">
        <v>4</v>
      </c>
      <c r="S18" s="1">
        <v>4</v>
      </c>
      <c r="T18" s="1">
        <v>7</v>
      </c>
      <c r="AC18" s="1">
        <v>24.986082499999998</v>
      </c>
      <c r="AR18" s="1">
        <v>25.9694842</v>
      </c>
      <c r="AS18" s="1">
        <v>25.9864842</v>
      </c>
      <c r="AT18" s="1">
        <v>26.4694796</v>
      </c>
      <c r="AU18" s="1">
        <v>24.9763558</v>
      </c>
      <c r="AV18" s="1">
        <v>24.986082499999998</v>
      </c>
      <c r="AW18" s="1">
        <v>25.9693896</v>
      </c>
      <c r="CL18" s="1">
        <v>5</v>
      </c>
      <c r="CM18" s="1">
        <v>1</v>
      </c>
      <c r="CN18" s="1" t="s">
        <v>148</v>
      </c>
      <c r="CO18" s="1" t="s">
        <v>99</v>
      </c>
      <c r="CQ18" s="1" t="s">
        <v>100</v>
      </c>
      <c r="CR18" s="1">
        <v>60.221990290000001</v>
      </c>
      <c r="CS18" s="1" t="s">
        <v>149</v>
      </c>
    </row>
    <row r="19" spans="2:97" x14ac:dyDescent="0.35">
      <c r="B19" s="1">
        <v>5</v>
      </c>
      <c r="C19" s="1">
        <v>5</v>
      </c>
      <c r="D19" s="1">
        <v>0</v>
      </c>
      <c r="E19" s="1" t="s">
        <v>120</v>
      </c>
      <c r="Q19" s="1">
        <v>0</v>
      </c>
      <c r="R19" s="1">
        <v>5</v>
      </c>
      <c r="S19" s="1">
        <v>5</v>
      </c>
      <c r="T19" s="1">
        <v>4</v>
      </c>
      <c r="AC19" s="1">
        <v>26.4861057</v>
      </c>
      <c r="AR19" s="1">
        <v>27.469216400000001</v>
      </c>
      <c r="AS19" s="1">
        <v>27.487219499999998</v>
      </c>
      <c r="AT19" s="1">
        <v>27.968872399999999</v>
      </c>
      <c r="AU19" s="1">
        <v>26.474859599999998</v>
      </c>
      <c r="AV19" s="1">
        <v>26.4861057</v>
      </c>
      <c r="AW19" s="1">
        <v>27.4691337</v>
      </c>
      <c r="CL19" s="1">
        <v>5</v>
      </c>
      <c r="CM19" s="1">
        <v>1</v>
      </c>
      <c r="CN19" s="1" t="s">
        <v>148</v>
      </c>
      <c r="CO19" s="1" t="s">
        <v>99</v>
      </c>
      <c r="CQ19" s="1" t="s">
        <v>100</v>
      </c>
      <c r="CR19" s="1">
        <v>60.221990290000001</v>
      </c>
      <c r="CS19" s="1" t="s">
        <v>149</v>
      </c>
    </row>
    <row r="20" spans="2:97" x14ac:dyDescent="0.35">
      <c r="B20" s="1">
        <v>6</v>
      </c>
      <c r="C20" s="1">
        <v>6</v>
      </c>
      <c r="D20" s="1">
        <v>0</v>
      </c>
      <c r="E20" s="1" t="s">
        <v>121</v>
      </c>
      <c r="Q20" s="1">
        <v>0</v>
      </c>
      <c r="R20" s="1">
        <v>6</v>
      </c>
      <c r="S20" s="1">
        <v>6</v>
      </c>
      <c r="T20" s="1">
        <v>3</v>
      </c>
      <c r="AC20" s="1">
        <v>27.984881900000001</v>
      </c>
      <c r="AR20" s="1">
        <v>28.969551899999999</v>
      </c>
      <c r="AS20" s="1">
        <v>28.985472999999999</v>
      </c>
      <c r="AT20" s="1">
        <v>29.4695252</v>
      </c>
      <c r="AU20" s="1">
        <v>27.970642699999999</v>
      </c>
      <c r="AV20" s="1">
        <v>27.984881900000001</v>
      </c>
      <c r="AW20" s="1">
        <v>28.969443900000002</v>
      </c>
      <c r="CL20" s="1">
        <v>5</v>
      </c>
      <c r="CM20" s="1">
        <v>1</v>
      </c>
      <c r="CN20" s="1" t="s">
        <v>148</v>
      </c>
      <c r="CO20" s="1" t="s">
        <v>99</v>
      </c>
      <c r="CQ20" s="1" t="s">
        <v>100</v>
      </c>
      <c r="CR20" s="1">
        <v>60.221990290000001</v>
      </c>
      <c r="CS20" s="1" t="s">
        <v>149</v>
      </c>
    </row>
    <row r="21" spans="2:97" x14ac:dyDescent="0.35">
      <c r="B21" s="1">
        <v>7</v>
      </c>
      <c r="C21" s="1">
        <v>7</v>
      </c>
      <c r="D21" s="1">
        <v>0</v>
      </c>
      <c r="E21" s="1" t="s">
        <v>117</v>
      </c>
      <c r="Q21" s="1">
        <v>0</v>
      </c>
      <c r="R21" s="1">
        <v>7</v>
      </c>
      <c r="S21" s="1">
        <v>7</v>
      </c>
      <c r="T21" s="1">
        <v>1</v>
      </c>
      <c r="AC21" s="1">
        <v>29.4853004</v>
      </c>
      <c r="AR21" s="1">
        <v>30.469007999999999</v>
      </c>
      <c r="AS21" s="1">
        <v>30.486096799999999</v>
      </c>
      <c r="AT21" s="1">
        <v>30.9675841</v>
      </c>
      <c r="AU21" s="1">
        <v>29.473984099999999</v>
      </c>
      <c r="AV21" s="1">
        <v>29.4853004</v>
      </c>
      <c r="AW21" s="1">
        <v>30.468935200000001</v>
      </c>
      <c r="CL21" s="1">
        <v>5</v>
      </c>
      <c r="CM21" s="1">
        <v>1</v>
      </c>
      <c r="CN21" s="1" t="s">
        <v>148</v>
      </c>
      <c r="CO21" s="1" t="s">
        <v>99</v>
      </c>
      <c r="CQ21" s="1" t="s">
        <v>100</v>
      </c>
      <c r="CR21" s="1">
        <v>60.221990290000001</v>
      </c>
      <c r="CS21" s="1" t="s">
        <v>149</v>
      </c>
    </row>
    <row r="22" spans="2:97" x14ac:dyDescent="0.35">
      <c r="B22" s="1">
        <v>8</v>
      </c>
      <c r="C22" s="1">
        <v>8</v>
      </c>
      <c r="D22" s="1">
        <v>0</v>
      </c>
      <c r="E22" s="1" t="s">
        <v>123</v>
      </c>
      <c r="Q22" s="1">
        <v>0</v>
      </c>
      <c r="R22" s="1">
        <v>8</v>
      </c>
      <c r="S22" s="1">
        <v>8</v>
      </c>
      <c r="T22" s="1">
        <v>2</v>
      </c>
      <c r="AC22" s="1">
        <v>30.985350799999999</v>
      </c>
      <c r="AR22" s="1">
        <v>31.968432199999999</v>
      </c>
      <c r="AS22" s="1">
        <v>31.984722600000001</v>
      </c>
      <c r="AT22" s="1">
        <v>32.4675139</v>
      </c>
      <c r="AU22" s="1">
        <v>30.969644200000001</v>
      </c>
      <c r="AV22" s="1">
        <v>30.985350799999999</v>
      </c>
      <c r="AW22" s="1">
        <v>31.968363199999999</v>
      </c>
      <c r="CL22" s="1">
        <v>5</v>
      </c>
      <c r="CM22" s="1">
        <v>1</v>
      </c>
      <c r="CN22" s="1" t="s">
        <v>148</v>
      </c>
      <c r="CO22" s="1" t="s">
        <v>99</v>
      </c>
      <c r="CQ22" s="1" t="s">
        <v>100</v>
      </c>
      <c r="CR22" s="1">
        <v>60.221990290000001</v>
      </c>
      <c r="CS22" s="1" t="s">
        <v>149</v>
      </c>
    </row>
    <row r="23" spans="2:97" x14ac:dyDescent="0.35">
      <c r="B23" s="1">
        <v>9</v>
      </c>
      <c r="C23" s="1">
        <v>9</v>
      </c>
      <c r="D23" s="1">
        <v>0</v>
      </c>
      <c r="E23" s="1" t="s">
        <v>118</v>
      </c>
      <c r="Q23" s="1">
        <v>0</v>
      </c>
      <c r="R23" s="1">
        <v>9</v>
      </c>
      <c r="S23" s="1">
        <v>9</v>
      </c>
      <c r="T23" s="1">
        <v>6</v>
      </c>
      <c r="AC23" s="1">
        <v>32.484505900000002</v>
      </c>
      <c r="AR23" s="1">
        <v>33.469591600000001</v>
      </c>
      <c r="AS23" s="1">
        <v>33.485909800000002</v>
      </c>
      <c r="AT23" s="1">
        <v>33.9688029</v>
      </c>
      <c r="AU23" s="1">
        <v>32.470941099999997</v>
      </c>
      <c r="AV23" s="1">
        <v>32.484505900000002</v>
      </c>
      <c r="AW23" s="1">
        <v>33.469493700000001</v>
      </c>
      <c r="CL23" s="1">
        <v>5</v>
      </c>
      <c r="CM23" s="1">
        <v>1</v>
      </c>
      <c r="CN23" s="1" t="s">
        <v>148</v>
      </c>
      <c r="CO23" s="1" t="s">
        <v>99</v>
      </c>
      <c r="CQ23" s="1" t="s">
        <v>100</v>
      </c>
      <c r="CR23" s="1">
        <v>60.221990290000001</v>
      </c>
      <c r="CS23" s="1" t="s">
        <v>149</v>
      </c>
    </row>
    <row r="24" spans="2:97" x14ac:dyDescent="0.35">
      <c r="B24" s="1">
        <v>0</v>
      </c>
      <c r="C24" s="1">
        <v>0</v>
      </c>
      <c r="D24" s="1">
        <v>0</v>
      </c>
      <c r="F24" s="1" t="s">
        <v>130</v>
      </c>
      <c r="U24" s="1">
        <v>0</v>
      </c>
      <c r="V24" s="1">
        <v>0</v>
      </c>
      <c r="W24" s="1">
        <v>0</v>
      </c>
      <c r="X24" s="1">
        <v>3</v>
      </c>
      <c r="AC24" s="1">
        <v>34.042089300000001</v>
      </c>
      <c r="AR24" s="1">
        <v>34.969618199999999</v>
      </c>
      <c r="AS24" s="1">
        <v>34.986224100000001</v>
      </c>
      <c r="AT24" s="1">
        <v>35.4679681</v>
      </c>
      <c r="AX24" s="1">
        <v>34.038445000000003</v>
      </c>
      <c r="AY24" s="1">
        <v>34.042089300000001</v>
      </c>
      <c r="AZ24" s="1">
        <v>34.969505300000002</v>
      </c>
      <c r="CL24" s="1">
        <v>5</v>
      </c>
      <c r="CM24" s="1">
        <v>1</v>
      </c>
      <c r="CN24" s="1" t="s">
        <v>148</v>
      </c>
      <c r="CO24" s="1" t="s">
        <v>99</v>
      </c>
      <c r="CQ24" s="1" t="s">
        <v>100</v>
      </c>
      <c r="CR24" s="1">
        <v>60.221990290000001</v>
      </c>
      <c r="CS24" s="1" t="s">
        <v>149</v>
      </c>
    </row>
    <row r="25" spans="2:97" x14ac:dyDescent="0.35">
      <c r="B25" s="1">
        <v>1</v>
      </c>
      <c r="C25" s="1">
        <v>1</v>
      </c>
      <c r="D25" s="1">
        <v>0</v>
      </c>
      <c r="F25" s="1" t="s">
        <v>127</v>
      </c>
      <c r="U25" s="1">
        <v>0</v>
      </c>
      <c r="V25" s="1">
        <v>1</v>
      </c>
      <c r="W25" s="1">
        <v>1</v>
      </c>
      <c r="X25" s="1">
        <v>5</v>
      </c>
      <c r="AC25" s="1">
        <v>35.484783299999997</v>
      </c>
      <c r="AR25" s="1">
        <v>36.468751300000001</v>
      </c>
      <c r="AS25" s="1">
        <v>36.485418099999997</v>
      </c>
      <c r="AT25" s="1">
        <v>36.969737600000002</v>
      </c>
      <c r="AX25" s="1">
        <v>35.470079699999999</v>
      </c>
      <c r="AY25" s="1">
        <v>35.484783299999997</v>
      </c>
      <c r="AZ25" s="1">
        <v>36.468660200000002</v>
      </c>
      <c r="CL25" s="1">
        <v>5</v>
      </c>
      <c r="CM25" s="1">
        <v>1</v>
      </c>
      <c r="CN25" s="1" t="s">
        <v>148</v>
      </c>
      <c r="CO25" s="1" t="s">
        <v>99</v>
      </c>
      <c r="CQ25" s="1" t="s">
        <v>100</v>
      </c>
      <c r="CR25" s="1">
        <v>60.221990290000001</v>
      </c>
      <c r="CS25" s="1" t="s">
        <v>149</v>
      </c>
    </row>
    <row r="26" spans="2:97" x14ac:dyDescent="0.35">
      <c r="B26" s="1">
        <v>2</v>
      </c>
      <c r="C26" s="1">
        <v>2</v>
      </c>
      <c r="D26" s="1">
        <v>0</v>
      </c>
      <c r="F26" s="1" t="s">
        <v>124</v>
      </c>
      <c r="U26" s="1">
        <v>0</v>
      </c>
      <c r="V26" s="1">
        <v>2</v>
      </c>
      <c r="W26" s="1">
        <v>2</v>
      </c>
      <c r="X26" s="1">
        <v>7</v>
      </c>
      <c r="AC26" s="1">
        <v>36.984762000000003</v>
      </c>
      <c r="AR26" s="1">
        <v>37.969863799999999</v>
      </c>
      <c r="AS26" s="1">
        <v>37.9859151</v>
      </c>
      <c r="AT26" s="1">
        <v>38.469804400000001</v>
      </c>
      <c r="AX26" s="1">
        <v>36.975448399999998</v>
      </c>
      <c r="AY26" s="1">
        <v>36.984762000000003</v>
      </c>
      <c r="AZ26" s="1">
        <v>37.969763700000001</v>
      </c>
      <c r="CL26" s="1">
        <v>5</v>
      </c>
      <c r="CM26" s="1">
        <v>1</v>
      </c>
      <c r="CN26" s="1" t="s">
        <v>148</v>
      </c>
      <c r="CO26" s="1" t="s">
        <v>99</v>
      </c>
      <c r="CQ26" s="1" t="s">
        <v>100</v>
      </c>
      <c r="CR26" s="1">
        <v>60.221990290000001</v>
      </c>
      <c r="CS26" s="1" t="s">
        <v>149</v>
      </c>
    </row>
    <row r="27" spans="2:97" x14ac:dyDescent="0.35">
      <c r="B27" s="1">
        <v>3</v>
      </c>
      <c r="C27" s="1">
        <v>3</v>
      </c>
      <c r="D27" s="1">
        <v>0</v>
      </c>
      <c r="F27" s="1" t="s">
        <v>131</v>
      </c>
      <c r="U27" s="1">
        <v>0</v>
      </c>
      <c r="V27" s="1">
        <v>3</v>
      </c>
      <c r="W27" s="1">
        <v>3</v>
      </c>
      <c r="X27" s="1">
        <v>2</v>
      </c>
      <c r="AC27" s="1">
        <v>38.485642200000001</v>
      </c>
      <c r="AR27" s="1">
        <v>39.468699399999998</v>
      </c>
      <c r="AS27" s="1">
        <v>39.485558699999999</v>
      </c>
      <c r="AT27" s="1">
        <v>39.969657699999999</v>
      </c>
      <c r="AX27" s="1">
        <v>38.474626600000001</v>
      </c>
      <c r="AY27" s="1">
        <v>38.485642200000001</v>
      </c>
      <c r="AZ27" s="1">
        <v>39.468613699999999</v>
      </c>
      <c r="CL27" s="1">
        <v>5</v>
      </c>
      <c r="CM27" s="1">
        <v>1</v>
      </c>
      <c r="CN27" s="1" t="s">
        <v>148</v>
      </c>
      <c r="CO27" s="1" t="s">
        <v>99</v>
      </c>
      <c r="CQ27" s="1" t="s">
        <v>100</v>
      </c>
      <c r="CR27" s="1">
        <v>60.221990290000001</v>
      </c>
      <c r="CS27" s="1" t="s">
        <v>149</v>
      </c>
    </row>
    <row r="28" spans="2:97" x14ac:dyDescent="0.35">
      <c r="B28" s="1">
        <v>4</v>
      </c>
      <c r="C28" s="1">
        <v>4</v>
      </c>
      <c r="D28" s="1">
        <v>0</v>
      </c>
      <c r="F28" s="1" t="s">
        <v>128</v>
      </c>
      <c r="U28" s="1">
        <v>0</v>
      </c>
      <c r="V28" s="1">
        <v>4</v>
      </c>
      <c r="W28" s="1">
        <v>4</v>
      </c>
      <c r="X28" s="1">
        <v>6</v>
      </c>
      <c r="AC28" s="1">
        <v>39.984898999999999</v>
      </c>
      <c r="AR28" s="1">
        <v>40.970555900000001</v>
      </c>
      <c r="AS28" s="1">
        <v>40.985710300000001</v>
      </c>
      <c r="AT28" s="1">
        <v>41.471029999999999</v>
      </c>
      <c r="AX28" s="1">
        <v>39.9745986</v>
      </c>
      <c r="AY28" s="1">
        <v>39.984898999999999</v>
      </c>
      <c r="AZ28" s="1">
        <v>40.970439200000001</v>
      </c>
      <c r="CL28" s="1">
        <v>5</v>
      </c>
      <c r="CM28" s="1">
        <v>1</v>
      </c>
      <c r="CN28" s="1" t="s">
        <v>148</v>
      </c>
      <c r="CO28" s="1" t="s">
        <v>99</v>
      </c>
      <c r="CQ28" s="1" t="s">
        <v>100</v>
      </c>
      <c r="CR28" s="1">
        <v>60.221990290000001</v>
      </c>
      <c r="CS28" s="1" t="s">
        <v>149</v>
      </c>
    </row>
    <row r="29" spans="2:97" x14ac:dyDescent="0.35">
      <c r="B29" s="1">
        <v>5</v>
      </c>
      <c r="C29" s="1">
        <v>5</v>
      </c>
      <c r="D29" s="1">
        <v>0</v>
      </c>
      <c r="F29" s="1" t="s">
        <v>129</v>
      </c>
      <c r="U29" s="1">
        <v>0</v>
      </c>
      <c r="V29" s="1">
        <v>5</v>
      </c>
      <c r="W29" s="1">
        <v>5</v>
      </c>
      <c r="X29" s="1">
        <v>0</v>
      </c>
      <c r="AC29" s="1">
        <v>41.4860732</v>
      </c>
      <c r="AR29" s="1">
        <v>42.470638899999997</v>
      </c>
      <c r="AS29" s="1">
        <v>42.485930699999997</v>
      </c>
      <c r="AT29" s="1">
        <v>42.970639599999998</v>
      </c>
      <c r="AX29" s="1">
        <v>41.475921100000001</v>
      </c>
      <c r="AY29" s="1">
        <v>41.4860732</v>
      </c>
      <c r="AZ29" s="1">
        <v>42.470521599999998</v>
      </c>
      <c r="CL29" s="1">
        <v>5</v>
      </c>
      <c r="CM29" s="1">
        <v>1</v>
      </c>
      <c r="CN29" s="1" t="s">
        <v>148</v>
      </c>
      <c r="CO29" s="1" t="s">
        <v>99</v>
      </c>
      <c r="CQ29" s="1" t="s">
        <v>100</v>
      </c>
      <c r="CR29" s="1">
        <v>60.221990290000001</v>
      </c>
      <c r="CS29" s="1" t="s">
        <v>149</v>
      </c>
    </row>
    <row r="30" spans="2:97" x14ac:dyDescent="0.35">
      <c r="B30" s="1">
        <v>6</v>
      </c>
      <c r="C30" s="1">
        <v>6</v>
      </c>
      <c r="D30" s="1">
        <v>0</v>
      </c>
      <c r="F30" s="1" t="s">
        <v>125</v>
      </c>
      <c r="U30" s="1">
        <v>0</v>
      </c>
      <c r="V30" s="1">
        <v>6</v>
      </c>
      <c r="W30" s="1">
        <v>6</v>
      </c>
      <c r="X30" s="1">
        <v>8</v>
      </c>
      <c r="AC30" s="1">
        <v>42.985902400000001</v>
      </c>
      <c r="AR30" s="1">
        <v>43.971022300000001</v>
      </c>
      <c r="AS30" s="1">
        <v>43.986565400000003</v>
      </c>
      <c r="AT30" s="1">
        <v>44.4695897</v>
      </c>
      <c r="AX30" s="1">
        <v>42.976933000000002</v>
      </c>
      <c r="AY30" s="1">
        <v>42.985902400000001</v>
      </c>
      <c r="AZ30" s="1">
        <v>43.970896699999997</v>
      </c>
      <c r="CL30" s="1">
        <v>5</v>
      </c>
      <c r="CM30" s="1">
        <v>1</v>
      </c>
      <c r="CN30" s="1" t="s">
        <v>148</v>
      </c>
      <c r="CO30" s="1" t="s">
        <v>99</v>
      </c>
      <c r="CQ30" s="1" t="s">
        <v>100</v>
      </c>
      <c r="CR30" s="1">
        <v>60.221990290000001</v>
      </c>
      <c r="CS30" s="1" t="s">
        <v>149</v>
      </c>
    </row>
    <row r="31" spans="2:97" x14ac:dyDescent="0.35">
      <c r="B31" s="1">
        <v>7</v>
      </c>
      <c r="C31" s="1">
        <v>7</v>
      </c>
      <c r="D31" s="1">
        <v>0</v>
      </c>
      <c r="F31" s="1" t="s">
        <v>126</v>
      </c>
      <c r="U31" s="1">
        <v>0</v>
      </c>
      <c r="V31" s="1">
        <v>7</v>
      </c>
      <c r="W31" s="1">
        <v>7</v>
      </c>
      <c r="X31" s="1">
        <v>4</v>
      </c>
      <c r="AC31" s="1">
        <v>44.486522399999998</v>
      </c>
      <c r="AR31" s="1">
        <v>45.468688299999997</v>
      </c>
      <c r="AS31" s="1">
        <v>45.485059999999997</v>
      </c>
      <c r="AT31" s="1">
        <v>45.970657600000003</v>
      </c>
      <c r="AX31" s="1">
        <v>44.474624900000002</v>
      </c>
      <c r="AY31" s="1">
        <v>44.486522399999998</v>
      </c>
      <c r="AZ31" s="1">
        <v>45.468604300000003</v>
      </c>
      <c r="CL31" s="1">
        <v>5</v>
      </c>
      <c r="CM31" s="1">
        <v>1</v>
      </c>
      <c r="CN31" s="1" t="s">
        <v>148</v>
      </c>
      <c r="CO31" s="1" t="s">
        <v>99</v>
      </c>
      <c r="CQ31" s="1" t="s">
        <v>100</v>
      </c>
      <c r="CR31" s="1">
        <v>60.221990290000001</v>
      </c>
      <c r="CS31" s="1" t="s">
        <v>149</v>
      </c>
    </row>
    <row r="32" spans="2:97" x14ac:dyDescent="0.35">
      <c r="B32" s="1">
        <v>8</v>
      </c>
      <c r="C32" s="1">
        <v>8</v>
      </c>
      <c r="D32" s="1">
        <v>0</v>
      </c>
      <c r="F32" s="1" t="s">
        <v>132</v>
      </c>
      <c r="U32" s="1">
        <v>0</v>
      </c>
      <c r="V32" s="1">
        <v>8</v>
      </c>
      <c r="W32" s="1">
        <v>8</v>
      </c>
      <c r="X32" s="1">
        <v>9</v>
      </c>
      <c r="AC32" s="1">
        <v>45.986263899999997</v>
      </c>
      <c r="AR32" s="1">
        <v>46.9708665</v>
      </c>
      <c r="AS32" s="1">
        <v>46.986893199999997</v>
      </c>
      <c r="AT32" s="1">
        <v>47.470660600000002</v>
      </c>
      <c r="AX32" s="1">
        <v>45.975638600000003</v>
      </c>
      <c r="AY32" s="1">
        <v>45.986263899999997</v>
      </c>
      <c r="AZ32" s="1">
        <v>46.9707644</v>
      </c>
      <c r="CL32" s="1">
        <v>5</v>
      </c>
      <c r="CM32" s="1">
        <v>1</v>
      </c>
      <c r="CN32" s="1" t="s">
        <v>148</v>
      </c>
      <c r="CO32" s="1" t="s">
        <v>99</v>
      </c>
      <c r="CQ32" s="1" t="s">
        <v>100</v>
      </c>
      <c r="CR32" s="1">
        <v>60.221990290000001</v>
      </c>
      <c r="CS32" s="1" t="s">
        <v>149</v>
      </c>
    </row>
    <row r="33" spans="2:97" x14ac:dyDescent="0.35">
      <c r="B33" s="1">
        <v>9</v>
      </c>
      <c r="C33" s="1">
        <v>9</v>
      </c>
      <c r="D33" s="1">
        <v>0</v>
      </c>
      <c r="F33" s="1" t="s">
        <v>133</v>
      </c>
      <c r="U33" s="1">
        <v>0</v>
      </c>
      <c r="V33" s="1">
        <v>9</v>
      </c>
      <c r="W33" s="1">
        <v>9</v>
      </c>
      <c r="X33" s="1">
        <v>1</v>
      </c>
      <c r="AC33" s="1">
        <v>47.486136399999999</v>
      </c>
      <c r="AR33" s="1">
        <v>48.470397300000002</v>
      </c>
      <c r="AS33" s="1">
        <v>48.486763600000003</v>
      </c>
      <c r="AT33" s="1">
        <v>48.970523999999997</v>
      </c>
      <c r="AX33" s="1">
        <v>47.474463900000003</v>
      </c>
      <c r="AY33" s="1">
        <v>47.486136399999999</v>
      </c>
      <c r="AZ33" s="1">
        <v>48.4702883</v>
      </c>
      <c r="CL33" s="1">
        <v>5</v>
      </c>
      <c r="CM33" s="1">
        <v>1</v>
      </c>
      <c r="CN33" s="1" t="s">
        <v>148</v>
      </c>
      <c r="CO33" s="1" t="s">
        <v>99</v>
      </c>
      <c r="CQ33" s="1" t="s">
        <v>100</v>
      </c>
      <c r="CR33" s="1">
        <v>60.221990290000001</v>
      </c>
      <c r="CS33" s="1" t="s">
        <v>149</v>
      </c>
    </row>
    <row r="34" spans="2:97" x14ac:dyDescent="0.35">
      <c r="BA34" s="1">
        <v>48.970745200000003</v>
      </c>
      <c r="BB34" s="1">
        <v>48.986305299999998</v>
      </c>
      <c r="BC34" s="1">
        <v>48.986305299999998</v>
      </c>
      <c r="BD34" s="1">
        <v>53.020333000000001</v>
      </c>
      <c r="BE34" s="1" t="s">
        <v>102</v>
      </c>
      <c r="BF34" s="1">
        <v>4.0232577000000003</v>
      </c>
      <c r="BG34" s="1" t="s">
        <v>103</v>
      </c>
      <c r="CL34" s="1">
        <v>5</v>
      </c>
      <c r="CM34" s="1">
        <v>1</v>
      </c>
      <c r="CN34" s="1" t="s">
        <v>148</v>
      </c>
      <c r="CO34" s="1" t="s">
        <v>99</v>
      </c>
      <c r="CQ34" s="1" t="s">
        <v>100</v>
      </c>
      <c r="CR34" s="1">
        <v>60.221990290000001</v>
      </c>
      <c r="CS34" s="1" t="s">
        <v>149</v>
      </c>
    </row>
    <row r="35" spans="2:97" x14ac:dyDescent="0.35">
      <c r="BH35" s="1">
        <v>53.020431199999997</v>
      </c>
      <c r="BI35" s="1">
        <v>53.036344399999997</v>
      </c>
      <c r="BJ35" s="1">
        <v>53.036344399999997</v>
      </c>
      <c r="BK35" s="1">
        <v>54.7718372</v>
      </c>
      <c r="BL35" s="1">
        <v>3</v>
      </c>
      <c r="BM35" s="1">
        <v>1.7333514999999999</v>
      </c>
      <c r="BN35" s="1" t="s">
        <v>103</v>
      </c>
      <c r="CL35" s="1">
        <v>5</v>
      </c>
      <c r="CM35" s="1">
        <v>1</v>
      </c>
      <c r="CN35" s="1" t="s">
        <v>148</v>
      </c>
      <c r="CO35" s="1" t="s">
        <v>99</v>
      </c>
      <c r="CQ35" s="1" t="s">
        <v>100</v>
      </c>
      <c r="CR35" s="1">
        <v>60.221990290000001</v>
      </c>
      <c r="CS35" s="1" t="s">
        <v>149</v>
      </c>
    </row>
    <row r="36" spans="2:97" x14ac:dyDescent="0.35">
      <c r="BO36" s="1">
        <v>54.771944699999999</v>
      </c>
      <c r="BP36" s="1">
        <v>54.7869861</v>
      </c>
      <c r="BQ36" s="1">
        <v>54.7869861</v>
      </c>
      <c r="BR36" s="1">
        <v>56.701745600000002</v>
      </c>
      <c r="BS36" s="1" t="s">
        <v>102</v>
      </c>
      <c r="BT36" s="1">
        <v>1.9057828000000001</v>
      </c>
      <c r="BU36" s="1" t="s">
        <v>103</v>
      </c>
      <c r="CL36" s="1">
        <v>5</v>
      </c>
      <c r="CM36" s="1">
        <v>1</v>
      </c>
      <c r="CN36" s="1" t="s">
        <v>148</v>
      </c>
      <c r="CO36" s="1" t="s">
        <v>99</v>
      </c>
      <c r="CQ36" s="1" t="s">
        <v>100</v>
      </c>
      <c r="CR36" s="1">
        <v>60.221990290000001</v>
      </c>
      <c r="CS36" s="1" t="s">
        <v>149</v>
      </c>
    </row>
    <row r="37" spans="2:97" x14ac:dyDescent="0.35">
      <c r="B37" s="1">
        <v>0</v>
      </c>
      <c r="C37" s="1">
        <v>0</v>
      </c>
      <c r="D37" s="1">
        <v>0</v>
      </c>
      <c r="G37" s="1" t="s">
        <v>139</v>
      </c>
      <c r="H37" s="1" t="s">
        <v>136</v>
      </c>
      <c r="I37" s="1" t="s">
        <v>136</v>
      </c>
      <c r="J37" s="1">
        <v>1</v>
      </c>
      <c r="K37" s="1">
        <v>0.85864569999999996</v>
      </c>
      <c r="L37" s="1" t="s">
        <v>103</v>
      </c>
      <c r="Y37" s="1">
        <v>0</v>
      </c>
      <c r="Z37" s="1">
        <v>0</v>
      </c>
      <c r="AA37" s="1">
        <v>0</v>
      </c>
      <c r="AB37" s="1">
        <v>9</v>
      </c>
      <c r="AC37" s="1">
        <v>56.717568399999998</v>
      </c>
      <c r="AR37" s="1">
        <v>57.586598000000002</v>
      </c>
      <c r="AS37" s="1">
        <v>57.600987000000003</v>
      </c>
      <c r="AT37" s="1">
        <v>58.086812500000001</v>
      </c>
      <c r="BV37" s="1">
        <v>56.711522000000002</v>
      </c>
      <c r="BW37" s="1">
        <v>56.717568399999998</v>
      </c>
      <c r="BX37" s="1">
        <v>56.717568399999998</v>
      </c>
      <c r="BY37" s="1">
        <v>57.586454600000003</v>
      </c>
      <c r="BZ37" s="1" t="s">
        <v>136</v>
      </c>
      <c r="CA37" s="1">
        <v>1</v>
      </c>
      <c r="CB37" s="1">
        <v>0.85864569999999996</v>
      </c>
      <c r="CC37" s="1" t="s">
        <v>103</v>
      </c>
      <c r="CD37" s="1">
        <v>58.101349399999997</v>
      </c>
      <c r="CL37" s="1">
        <v>5</v>
      </c>
      <c r="CM37" s="1">
        <v>1</v>
      </c>
      <c r="CN37" s="1" t="s">
        <v>148</v>
      </c>
      <c r="CO37" s="1" t="s">
        <v>99</v>
      </c>
      <c r="CQ37" s="1" t="s">
        <v>100</v>
      </c>
      <c r="CR37" s="1">
        <v>60.221990290000001</v>
      </c>
      <c r="CS37" s="1" t="s">
        <v>149</v>
      </c>
    </row>
    <row r="38" spans="2:97" x14ac:dyDescent="0.35">
      <c r="B38" s="1">
        <v>1</v>
      </c>
      <c r="C38" s="1">
        <v>1</v>
      </c>
      <c r="D38" s="1">
        <v>0</v>
      </c>
      <c r="G38" s="1" t="s">
        <v>106</v>
      </c>
      <c r="H38" s="1" t="s">
        <v>134</v>
      </c>
      <c r="I38" s="1" t="s">
        <v>134</v>
      </c>
      <c r="J38" s="1">
        <v>1</v>
      </c>
      <c r="K38" s="1">
        <v>0.89954299999999998</v>
      </c>
      <c r="L38" s="1" t="s">
        <v>103</v>
      </c>
      <c r="Y38" s="1">
        <v>0</v>
      </c>
      <c r="Z38" s="1">
        <v>1</v>
      </c>
      <c r="AA38" s="1">
        <v>1</v>
      </c>
      <c r="AB38" s="1">
        <v>3</v>
      </c>
      <c r="AC38" s="1">
        <v>58.101349399999997</v>
      </c>
      <c r="AR38" s="1">
        <v>59.003117799999998</v>
      </c>
      <c r="AS38" s="1">
        <v>59.019918799999999</v>
      </c>
      <c r="AT38" s="1">
        <v>59.5193096</v>
      </c>
      <c r="BV38" s="1">
        <v>58.091203999999998</v>
      </c>
      <c r="BW38" s="1">
        <v>58.101349399999997</v>
      </c>
      <c r="BX38" s="1">
        <v>58.101349399999997</v>
      </c>
      <c r="BY38" s="1">
        <v>59.002973500000003</v>
      </c>
      <c r="BZ38" s="1" t="s">
        <v>134</v>
      </c>
      <c r="CA38" s="1">
        <v>1</v>
      </c>
      <c r="CB38" s="1">
        <v>0.89954299999999998</v>
      </c>
      <c r="CC38" s="1" t="s">
        <v>103</v>
      </c>
      <c r="CL38" s="1">
        <v>5</v>
      </c>
      <c r="CM38" s="1">
        <v>1</v>
      </c>
      <c r="CN38" s="1" t="s">
        <v>148</v>
      </c>
      <c r="CO38" s="1" t="s">
        <v>99</v>
      </c>
      <c r="CQ38" s="1" t="s">
        <v>100</v>
      </c>
      <c r="CR38" s="1">
        <v>60.221990290000001</v>
      </c>
      <c r="CS38" s="1" t="s">
        <v>149</v>
      </c>
    </row>
    <row r="39" spans="2:97" x14ac:dyDescent="0.35">
      <c r="B39" s="1">
        <v>2</v>
      </c>
      <c r="C39" s="1">
        <v>2</v>
      </c>
      <c r="D39" s="1">
        <v>0</v>
      </c>
      <c r="G39" s="1" t="s">
        <v>135</v>
      </c>
      <c r="H39" s="1" t="s">
        <v>136</v>
      </c>
      <c r="I39" s="1" t="s">
        <v>136</v>
      </c>
      <c r="J39" s="1">
        <v>1</v>
      </c>
      <c r="K39" s="1">
        <v>0.65042809999999995</v>
      </c>
      <c r="L39" s="1" t="s">
        <v>103</v>
      </c>
      <c r="Y39" s="1">
        <v>0</v>
      </c>
      <c r="Z39" s="1">
        <v>2</v>
      </c>
      <c r="AA39" s="1">
        <v>2</v>
      </c>
      <c r="AB39" s="1">
        <v>8</v>
      </c>
      <c r="AC39" s="1">
        <v>59.534762800000003</v>
      </c>
      <c r="AR39" s="1">
        <v>60.186019100000003</v>
      </c>
      <c r="AS39" s="1">
        <v>60.201492700000003</v>
      </c>
      <c r="AT39" s="1">
        <v>60.687214099999998</v>
      </c>
      <c r="BV39" s="1">
        <v>59.5239999</v>
      </c>
      <c r="BW39" s="1">
        <v>59.534762800000003</v>
      </c>
      <c r="BX39" s="1">
        <v>59.534762800000003</v>
      </c>
      <c r="BY39" s="1">
        <v>60.185918299999997</v>
      </c>
      <c r="BZ39" s="1" t="s">
        <v>136</v>
      </c>
      <c r="CA39" s="1">
        <v>1</v>
      </c>
      <c r="CB39" s="1">
        <v>0.65042809999999995</v>
      </c>
      <c r="CC39" s="1" t="s">
        <v>103</v>
      </c>
      <c r="CL39" s="1">
        <v>5</v>
      </c>
      <c r="CM39" s="1">
        <v>1</v>
      </c>
      <c r="CN39" s="1" t="s">
        <v>148</v>
      </c>
      <c r="CO39" s="1" t="s">
        <v>99</v>
      </c>
      <c r="CQ39" s="1" t="s">
        <v>100</v>
      </c>
      <c r="CR39" s="1">
        <v>60.221990290000001</v>
      </c>
      <c r="CS39" s="1" t="s">
        <v>149</v>
      </c>
    </row>
    <row r="40" spans="2:97" x14ac:dyDescent="0.35">
      <c r="B40" s="1">
        <v>3</v>
      </c>
      <c r="C40" s="1">
        <v>3</v>
      </c>
      <c r="D40" s="1">
        <v>0</v>
      </c>
      <c r="G40" s="1" t="s">
        <v>116</v>
      </c>
      <c r="H40" s="1" t="s">
        <v>134</v>
      </c>
      <c r="I40" s="1" t="s">
        <v>136</v>
      </c>
      <c r="J40" s="1">
        <v>0</v>
      </c>
      <c r="K40" s="1">
        <v>1.2365729999999999</v>
      </c>
      <c r="L40" s="1" t="s">
        <v>103</v>
      </c>
      <c r="Y40" s="1">
        <v>0</v>
      </c>
      <c r="Z40" s="1">
        <v>3</v>
      </c>
      <c r="AA40" s="1">
        <v>3</v>
      </c>
      <c r="AB40" s="1">
        <v>4</v>
      </c>
      <c r="AC40" s="1">
        <v>60.702097600000002</v>
      </c>
      <c r="AR40" s="1">
        <v>61.954422700000002</v>
      </c>
      <c r="AS40" s="1">
        <v>61.969099499999999</v>
      </c>
      <c r="AT40" s="1">
        <v>62.453083100000001</v>
      </c>
      <c r="BV40" s="1">
        <v>60.691954799999998</v>
      </c>
      <c r="BW40" s="1">
        <v>60.702097600000002</v>
      </c>
      <c r="BX40" s="1">
        <v>60.702097600000002</v>
      </c>
      <c r="BY40" s="1">
        <v>61.954290700000001</v>
      </c>
      <c r="BZ40" s="1" t="s">
        <v>136</v>
      </c>
      <c r="CA40" s="1">
        <v>0</v>
      </c>
      <c r="CB40" s="1">
        <v>1.2365729999999999</v>
      </c>
      <c r="CC40" s="1" t="s">
        <v>103</v>
      </c>
      <c r="CD40" s="1">
        <v>62.468971799999998</v>
      </c>
      <c r="CL40" s="1">
        <v>5</v>
      </c>
      <c r="CM40" s="1">
        <v>1</v>
      </c>
      <c r="CN40" s="1" t="s">
        <v>148</v>
      </c>
      <c r="CO40" s="1" t="s">
        <v>99</v>
      </c>
      <c r="CQ40" s="1" t="s">
        <v>100</v>
      </c>
      <c r="CR40" s="1">
        <v>60.221990290000001</v>
      </c>
      <c r="CS40" s="1" t="s">
        <v>149</v>
      </c>
    </row>
    <row r="41" spans="2:97" x14ac:dyDescent="0.35">
      <c r="B41" s="1">
        <v>4</v>
      </c>
      <c r="C41" s="1">
        <v>4</v>
      </c>
      <c r="D41" s="1">
        <v>0</v>
      </c>
      <c r="G41" s="1" t="s">
        <v>138</v>
      </c>
      <c r="H41" s="1" t="s">
        <v>136</v>
      </c>
      <c r="I41" s="1" t="s">
        <v>134</v>
      </c>
      <c r="J41" s="1">
        <v>0</v>
      </c>
      <c r="K41" s="1">
        <v>1.1524722999999999</v>
      </c>
      <c r="L41" s="1" t="s">
        <v>103</v>
      </c>
      <c r="Y41" s="1">
        <v>0</v>
      </c>
      <c r="Z41" s="1">
        <v>4</v>
      </c>
      <c r="AA41" s="1">
        <v>4</v>
      </c>
      <c r="AB41" s="1">
        <v>0</v>
      </c>
      <c r="AC41" s="1">
        <v>62.468971799999998</v>
      </c>
      <c r="AR41" s="1">
        <v>63.636661099999998</v>
      </c>
      <c r="AS41" s="1">
        <v>63.652469000000004</v>
      </c>
      <c r="AT41" s="1">
        <v>64.136478499999996</v>
      </c>
      <c r="BV41" s="1">
        <v>62.458608400000003</v>
      </c>
      <c r="BW41" s="1">
        <v>62.468971799999998</v>
      </c>
      <c r="BX41" s="1">
        <v>62.468971799999998</v>
      </c>
      <c r="BY41" s="1">
        <v>63.636518799999997</v>
      </c>
      <c r="BZ41" s="1" t="s">
        <v>134</v>
      </c>
      <c r="CA41" s="1">
        <v>0</v>
      </c>
      <c r="CB41" s="1">
        <v>1.1524722999999999</v>
      </c>
      <c r="CC41" s="1" t="s">
        <v>103</v>
      </c>
      <c r="CD41" s="1">
        <v>64.152137400000001</v>
      </c>
      <c r="CL41" s="1">
        <v>5</v>
      </c>
      <c r="CM41" s="1">
        <v>1</v>
      </c>
      <c r="CN41" s="1" t="s">
        <v>148</v>
      </c>
      <c r="CO41" s="1" t="s">
        <v>99</v>
      </c>
      <c r="CQ41" s="1" t="s">
        <v>100</v>
      </c>
      <c r="CR41" s="1">
        <v>60.221990290000001</v>
      </c>
      <c r="CS41" s="1" t="s">
        <v>149</v>
      </c>
    </row>
    <row r="42" spans="2:97" x14ac:dyDescent="0.35">
      <c r="B42" s="1">
        <v>5</v>
      </c>
      <c r="C42" s="1">
        <v>5</v>
      </c>
      <c r="D42" s="1">
        <v>0</v>
      </c>
      <c r="G42" s="1" t="s">
        <v>129</v>
      </c>
      <c r="H42" s="1" t="s">
        <v>134</v>
      </c>
      <c r="I42" s="1" t="s">
        <v>134</v>
      </c>
      <c r="J42" s="1">
        <v>1</v>
      </c>
      <c r="K42" s="1">
        <v>0.73663990000000001</v>
      </c>
      <c r="L42" s="1" t="s">
        <v>103</v>
      </c>
      <c r="Y42" s="1">
        <v>0</v>
      </c>
      <c r="Z42" s="1">
        <v>5</v>
      </c>
      <c r="AA42" s="1">
        <v>5</v>
      </c>
      <c r="AB42" s="1">
        <v>5</v>
      </c>
      <c r="AC42" s="1">
        <v>64.152137400000001</v>
      </c>
      <c r="AR42" s="1">
        <v>64.904104200000006</v>
      </c>
      <c r="AS42" s="1">
        <v>64.919314999999997</v>
      </c>
      <c r="AT42" s="1">
        <v>65.402662300000003</v>
      </c>
      <c r="BV42" s="1">
        <v>64.140702000000005</v>
      </c>
      <c r="BW42" s="1">
        <v>64.152137400000001</v>
      </c>
      <c r="BX42" s="1">
        <v>64.152137400000001</v>
      </c>
      <c r="BY42" s="1">
        <v>64.903957199999994</v>
      </c>
      <c r="BZ42" s="1" t="s">
        <v>134</v>
      </c>
      <c r="CA42" s="1">
        <v>1</v>
      </c>
      <c r="CB42" s="1">
        <v>0.73663990000000001</v>
      </c>
      <c r="CC42" s="1" t="s">
        <v>103</v>
      </c>
      <c r="CD42" s="1">
        <v>65.417963999999998</v>
      </c>
      <c r="CL42" s="1">
        <v>5</v>
      </c>
      <c r="CM42" s="1">
        <v>1</v>
      </c>
      <c r="CN42" s="1" t="s">
        <v>148</v>
      </c>
      <c r="CO42" s="1" t="s">
        <v>99</v>
      </c>
      <c r="CQ42" s="1" t="s">
        <v>100</v>
      </c>
      <c r="CR42" s="1">
        <v>60.221990290000001</v>
      </c>
      <c r="CS42" s="1" t="s">
        <v>149</v>
      </c>
    </row>
    <row r="43" spans="2:97" x14ac:dyDescent="0.35">
      <c r="B43" s="1">
        <v>6</v>
      </c>
      <c r="C43" s="1">
        <v>6</v>
      </c>
      <c r="D43" s="1">
        <v>0</v>
      </c>
      <c r="G43" s="1" t="s">
        <v>130</v>
      </c>
      <c r="H43" s="1" t="s">
        <v>134</v>
      </c>
      <c r="I43" s="1" t="s">
        <v>136</v>
      </c>
      <c r="J43" s="1">
        <v>0</v>
      </c>
      <c r="K43" s="1">
        <v>0.93535460000000004</v>
      </c>
      <c r="L43" s="1" t="s">
        <v>103</v>
      </c>
      <c r="Y43" s="1">
        <v>0</v>
      </c>
      <c r="Z43" s="1">
        <v>6</v>
      </c>
      <c r="AA43" s="1">
        <v>6</v>
      </c>
      <c r="AB43" s="1">
        <v>6</v>
      </c>
      <c r="AC43" s="1">
        <v>65.417963999999998</v>
      </c>
      <c r="AR43" s="1">
        <v>66.369524499999997</v>
      </c>
      <c r="AS43" s="1">
        <v>66.385926699999999</v>
      </c>
      <c r="AT43" s="1">
        <v>66.884061700000004</v>
      </c>
      <c r="BV43" s="1">
        <v>65.407056800000007</v>
      </c>
      <c r="BW43" s="1">
        <v>65.417963999999998</v>
      </c>
      <c r="BX43" s="1">
        <v>65.417963999999998</v>
      </c>
      <c r="BY43" s="1">
        <v>66.3693995</v>
      </c>
      <c r="BZ43" s="1" t="s">
        <v>136</v>
      </c>
      <c r="CA43" s="1">
        <v>0</v>
      </c>
      <c r="CB43" s="1">
        <v>0.93535460000000004</v>
      </c>
      <c r="CC43" s="1" t="s">
        <v>103</v>
      </c>
      <c r="CL43" s="1">
        <v>5</v>
      </c>
      <c r="CM43" s="1">
        <v>1</v>
      </c>
      <c r="CN43" s="1" t="s">
        <v>148</v>
      </c>
      <c r="CO43" s="1" t="s">
        <v>99</v>
      </c>
      <c r="CQ43" s="1" t="s">
        <v>100</v>
      </c>
      <c r="CR43" s="1">
        <v>60.221990290000001</v>
      </c>
      <c r="CS43" s="1" t="s">
        <v>149</v>
      </c>
    </row>
    <row r="44" spans="2:97" x14ac:dyDescent="0.35">
      <c r="B44" s="1">
        <v>7</v>
      </c>
      <c r="C44" s="1">
        <v>7</v>
      </c>
      <c r="D44" s="1">
        <v>0</v>
      </c>
      <c r="G44" s="1" t="s">
        <v>137</v>
      </c>
      <c r="H44" s="1" t="s">
        <v>136</v>
      </c>
      <c r="I44" s="1" t="s">
        <v>136</v>
      </c>
      <c r="J44" s="1">
        <v>1</v>
      </c>
      <c r="K44" s="1">
        <v>0.52191949999999998</v>
      </c>
      <c r="L44" s="1" t="s">
        <v>103</v>
      </c>
      <c r="Y44" s="1">
        <v>0</v>
      </c>
      <c r="Z44" s="1">
        <v>7</v>
      </c>
      <c r="AA44" s="1">
        <v>7</v>
      </c>
      <c r="AB44" s="1">
        <v>7</v>
      </c>
      <c r="AC44" s="1">
        <v>66.900562300000004</v>
      </c>
      <c r="AR44" s="1">
        <v>67.4372185</v>
      </c>
      <c r="AS44" s="1">
        <v>67.452275299999997</v>
      </c>
      <c r="AT44" s="1">
        <v>67.937082799999999</v>
      </c>
      <c r="BV44" s="1">
        <v>66.886451899999997</v>
      </c>
      <c r="BW44" s="1">
        <v>66.900562300000004</v>
      </c>
      <c r="BX44" s="1">
        <v>66.900562300000004</v>
      </c>
      <c r="BY44" s="1">
        <v>67.436924300000001</v>
      </c>
      <c r="BZ44" s="1" t="s">
        <v>136</v>
      </c>
      <c r="CA44" s="1">
        <v>1</v>
      </c>
      <c r="CB44" s="1">
        <v>0.52191949999999998</v>
      </c>
      <c r="CC44" s="1" t="s">
        <v>103</v>
      </c>
      <c r="CD44" s="1">
        <v>67.952425300000002</v>
      </c>
      <c r="CL44" s="1">
        <v>5</v>
      </c>
      <c r="CM44" s="1">
        <v>1</v>
      </c>
      <c r="CN44" s="1" t="s">
        <v>148</v>
      </c>
      <c r="CO44" s="1" t="s">
        <v>99</v>
      </c>
      <c r="CQ44" s="1" t="s">
        <v>100</v>
      </c>
      <c r="CR44" s="1">
        <v>60.221990290000001</v>
      </c>
      <c r="CS44" s="1" t="s">
        <v>149</v>
      </c>
    </row>
    <row r="45" spans="2:97" x14ac:dyDescent="0.35">
      <c r="B45" s="1">
        <v>8</v>
      </c>
      <c r="C45" s="1">
        <v>8</v>
      </c>
      <c r="D45" s="1">
        <v>0</v>
      </c>
      <c r="G45" s="1" t="s">
        <v>140</v>
      </c>
      <c r="H45" s="1" t="s">
        <v>136</v>
      </c>
      <c r="I45" s="1" t="s">
        <v>136</v>
      </c>
      <c r="J45" s="1">
        <v>1</v>
      </c>
      <c r="K45" s="1">
        <v>1.0459540000000001</v>
      </c>
      <c r="L45" s="1" t="s">
        <v>103</v>
      </c>
      <c r="Y45" s="1">
        <v>0</v>
      </c>
      <c r="Z45" s="1">
        <v>8</v>
      </c>
      <c r="AA45" s="1">
        <v>8</v>
      </c>
      <c r="AB45" s="1">
        <v>2</v>
      </c>
      <c r="AC45" s="1">
        <v>67.952425300000002</v>
      </c>
      <c r="AR45" s="1">
        <v>69.004170099999996</v>
      </c>
      <c r="AS45" s="1">
        <v>69.019259500000004</v>
      </c>
      <c r="AT45" s="1">
        <v>69.503678199999996</v>
      </c>
      <c r="BV45" s="1">
        <v>67.941215</v>
      </c>
      <c r="BW45" s="1">
        <v>67.952425300000002</v>
      </c>
      <c r="BX45" s="1">
        <v>67.952425300000002</v>
      </c>
      <c r="BY45" s="1">
        <v>69.004024400000006</v>
      </c>
      <c r="BZ45" s="1" t="s">
        <v>136</v>
      </c>
      <c r="CA45" s="1">
        <v>1</v>
      </c>
      <c r="CB45" s="1">
        <v>1.0459540000000001</v>
      </c>
      <c r="CC45" s="1" t="s">
        <v>103</v>
      </c>
      <c r="CD45" s="1">
        <v>69.518892300000005</v>
      </c>
      <c r="CL45" s="1">
        <v>5</v>
      </c>
      <c r="CM45" s="1">
        <v>1</v>
      </c>
      <c r="CN45" s="1" t="s">
        <v>148</v>
      </c>
      <c r="CO45" s="1" t="s">
        <v>99</v>
      </c>
      <c r="CQ45" s="1" t="s">
        <v>100</v>
      </c>
      <c r="CR45" s="1">
        <v>60.221990290000001</v>
      </c>
      <c r="CS45" s="1" t="s">
        <v>149</v>
      </c>
    </row>
    <row r="46" spans="2:97" x14ac:dyDescent="0.35">
      <c r="B46" s="1">
        <v>9</v>
      </c>
      <c r="C46" s="1">
        <v>9</v>
      </c>
      <c r="D46" s="1">
        <v>0</v>
      </c>
      <c r="G46" s="1" t="s">
        <v>141</v>
      </c>
      <c r="H46" s="1" t="s">
        <v>136</v>
      </c>
      <c r="I46" s="1" t="s">
        <v>136</v>
      </c>
      <c r="J46" s="1">
        <v>1</v>
      </c>
      <c r="K46" s="1">
        <v>0.62233130000000003</v>
      </c>
      <c r="L46" s="1" t="s">
        <v>103</v>
      </c>
      <c r="Y46" s="1">
        <v>0</v>
      </c>
      <c r="Z46" s="1">
        <v>9</v>
      </c>
      <c r="AA46" s="1">
        <v>9</v>
      </c>
      <c r="AB46" s="1">
        <v>1</v>
      </c>
      <c r="AC46" s="1">
        <v>69.518892300000005</v>
      </c>
      <c r="AR46" s="1">
        <v>70.153326699999994</v>
      </c>
      <c r="AS46" s="1">
        <v>70.169295000000005</v>
      </c>
      <c r="AT46" s="1">
        <v>70.653601499999994</v>
      </c>
      <c r="BV46" s="1">
        <v>69.507957399999995</v>
      </c>
      <c r="BW46" s="1">
        <v>69.518892300000005</v>
      </c>
      <c r="BX46" s="1">
        <v>69.518892300000005</v>
      </c>
      <c r="BY46" s="1">
        <v>70.153178299999993</v>
      </c>
      <c r="BZ46" s="1" t="s">
        <v>136</v>
      </c>
      <c r="CA46" s="1">
        <v>1</v>
      </c>
      <c r="CB46" s="1">
        <v>0.62233130000000003</v>
      </c>
      <c r="CC46" s="1" t="s">
        <v>103</v>
      </c>
      <c r="CL46" s="1">
        <v>5</v>
      </c>
      <c r="CM46" s="1">
        <v>1</v>
      </c>
      <c r="CN46" s="1" t="s">
        <v>148</v>
      </c>
      <c r="CO46" s="1" t="s">
        <v>99</v>
      </c>
      <c r="CQ46" s="1" t="s">
        <v>100</v>
      </c>
      <c r="CR46" s="1">
        <v>60.221990290000001</v>
      </c>
      <c r="CS46" s="1" t="s">
        <v>149</v>
      </c>
    </row>
    <row r="47" spans="2:97" x14ac:dyDescent="0.35">
      <c r="CE47" s="1">
        <v>70.653923300000002</v>
      </c>
      <c r="CF47" s="1">
        <v>70.669244399999997</v>
      </c>
      <c r="CG47" s="1">
        <v>70.669244399999997</v>
      </c>
      <c r="CH47" s="1">
        <v>72.636839300000005</v>
      </c>
      <c r="CI47" s="1" t="s">
        <v>102</v>
      </c>
      <c r="CJ47" s="1">
        <v>1.949692</v>
      </c>
      <c r="CK47" s="1" t="s">
        <v>103</v>
      </c>
      <c r="CL47" s="1">
        <v>5</v>
      </c>
      <c r="CM47" s="1">
        <v>1</v>
      </c>
      <c r="CN47" s="1" t="s">
        <v>148</v>
      </c>
      <c r="CO47" s="1" t="s">
        <v>99</v>
      </c>
      <c r="CQ47" s="1" t="s">
        <v>100</v>
      </c>
      <c r="CR47" s="1">
        <v>60.221990290000001</v>
      </c>
      <c r="CS47" s="1" t="s">
        <v>149</v>
      </c>
    </row>
    <row r="49" spans="10:11" x14ac:dyDescent="0.35">
      <c r="J49" s="2">
        <f>AVERAGE(J37:J46)</f>
        <v>0.7</v>
      </c>
      <c r="K49" s="2">
        <f>AVERAGE(K37:K46)</f>
        <v>0.86598614000000018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23E2F6-283F-4F71-BA70-929B237DF592}">
  <dimension ref="A1:CU49"/>
  <sheetViews>
    <sheetView topLeftCell="A36" workbookViewId="0">
      <selection activeCell="J45" sqref="J45"/>
    </sheetView>
  </sheetViews>
  <sheetFormatPr defaultRowHeight="14.5" x14ac:dyDescent="0.35"/>
  <cols>
    <col min="1" max="16384" width="8.7265625" style="1"/>
  </cols>
  <sheetData>
    <row r="1" spans="1:9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33</v>
      </c>
      <c r="AH1" s="1" t="s">
        <v>34</v>
      </c>
      <c r="AI1" s="1" t="s">
        <v>35</v>
      </c>
      <c r="AJ1" s="1" t="s">
        <v>36</v>
      </c>
      <c r="AK1" s="1" t="s">
        <v>37</v>
      </c>
      <c r="AL1" s="1" t="s">
        <v>38</v>
      </c>
      <c r="AM1" s="1" t="s">
        <v>39</v>
      </c>
      <c r="AN1" s="1" t="s">
        <v>40</v>
      </c>
      <c r="AO1" s="1" t="s">
        <v>41</v>
      </c>
      <c r="AP1" s="1" t="s">
        <v>42</v>
      </c>
      <c r="AQ1" s="1" t="s">
        <v>150</v>
      </c>
      <c r="AR1" s="1" t="s">
        <v>43</v>
      </c>
      <c r="AS1" s="1" t="s">
        <v>44</v>
      </c>
      <c r="AT1" s="1" t="s">
        <v>45</v>
      </c>
      <c r="AU1" s="1" t="s">
        <v>82</v>
      </c>
      <c r="AV1" s="1" t="s">
        <v>46</v>
      </c>
      <c r="AW1" s="1" t="s">
        <v>47</v>
      </c>
      <c r="AX1" s="1" t="s">
        <v>48</v>
      </c>
      <c r="AY1" s="1" t="s">
        <v>151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64</v>
      </c>
      <c r="BP1" s="1" t="s">
        <v>65</v>
      </c>
      <c r="BQ1" s="1" t="s">
        <v>66</v>
      </c>
      <c r="BR1" s="1" t="s">
        <v>67</v>
      </c>
      <c r="BS1" s="1" t="s">
        <v>68</v>
      </c>
      <c r="BT1" s="1" t="s">
        <v>69</v>
      </c>
      <c r="BU1" s="1" t="s">
        <v>70</v>
      </c>
      <c r="BV1" s="1" t="s">
        <v>71</v>
      </c>
      <c r="BW1" s="1" t="s">
        <v>72</v>
      </c>
      <c r="BX1" s="1" t="s">
        <v>73</v>
      </c>
      <c r="BY1" s="1" t="s">
        <v>74</v>
      </c>
      <c r="BZ1" s="1" t="s">
        <v>75</v>
      </c>
      <c r="CA1" s="1" t="s">
        <v>76</v>
      </c>
      <c r="CB1" s="1" t="s">
        <v>77</v>
      </c>
      <c r="CC1" s="1" t="s">
        <v>78</v>
      </c>
      <c r="CD1" s="1" t="s">
        <v>79</v>
      </c>
      <c r="CE1" s="1" t="s">
        <v>80</v>
      </c>
      <c r="CF1" s="1" t="s">
        <v>81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</row>
    <row r="2" spans="1:99" x14ac:dyDescent="0.35">
      <c r="AE2" s="1">
        <v>1.8632E-3</v>
      </c>
      <c r="AF2" s="1">
        <v>4.9214000000000003E-3</v>
      </c>
      <c r="AG2" s="1">
        <v>3.0039989</v>
      </c>
      <c r="CN2" s="1">
        <v>6</v>
      </c>
      <c r="CO2" s="1">
        <v>1</v>
      </c>
      <c r="CP2" s="1" t="s">
        <v>152</v>
      </c>
      <c r="CQ2" s="1" t="s">
        <v>99</v>
      </c>
      <c r="CS2" s="1" t="s">
        <v>100</v>
      </c>
      <c r="CT2" s="1">
        <v>59.959047980000001</v>
      </c>
      <c r="CU2" s="1" t="s">
        <v>153</v>
      </c>
    </row>
    <row r="3" spans="1:99" x14ac:dyDescent="0.35">
      <c r="AH3" s="1">
        <v>3.0041674</v>
      </c>
      <c r="AI3" s="1">
        <v>3.0202211999999999</v>
      </c>
      <c r="AJ3" s="1">
        <v>3.0202211999999999</v>
      </c>
      <c r="AK3" s="1">
        <v>6.3043705000000001</v>
      </c>
      <c r="AL3" s="1" t="s">
        <v>102</v>
      </c>
      <c r="AM3" s="1">
        <v>3.2591573999999999</v>
      </c>
      <c r="AN3" s="1" t="s">
        <v>103</v>
      </c>
      <c r="CN3" s="1">
        <v>6</v>
      </c>
      <c r="CO3" s="1">
        <v>1</v>
      </c>
      <c r="CP3" s="1" t="s">
        <v>152</v>
      </c>
      <c r="CQ3" s="1" t="s">
        <v>99</v>
      </c>
      <c r="CS3" s="1" t="s">
        <v>100</v>
      </c>
      <c r="CT3" s="1">
        <v>59.959047980000001</v>
      </c>
      <c r="CU3" s="1" t="s">
        <v>153</v>
      </c>
    </row>
    <row r="4" spans="1:99" x14ac:dyDescent="0.35">
      <c r="A4" s="1" t="s">
        <v>108</v>
      </c>
      <c r="B4" s="1">
        <v>0</v>
      </c>
      <c r="C4" s="1">
        <v>0</v>
      </c>
      <c r="D4" s="1">
        <v>0</v>
      </c>
      <c r="M4" s="1">
        <v>0</v>
      </c>
      <c r="N4" s="1">
        <v>0</v>
      </c>
      <c r="O4" s="1">
        <v>0</v>
      </c>
      <c r="P4" s="1">
        <v>4</v>
      </c>
      <c r="AC4" s="1">
        <v>6.3206259999999999</v>
      </c>
      <c r="AO4" s="1">
        <v>6.3177813</v>
      </c>
      <c r="AP4" s="1">
        <v>6.3206259999999999</v>
      </c>
      <c r="AQ4" s="1">
        <v>7.3203855000000004</v>
      </c>
      <c r="AR4" s="1">
        <v>7.3042632000000003</v>
      </c>
      <c r="AS4" s="1">
        <v>7.3043316000000003</v>
      </c>
      <c r="AT4" s="1">
        <v>7.3203855000000004</v>
      </c>
      <c r="AU4" s="1">
        <v>7.8197393000000002</v>
      </c>
      <c r="AV4" s="1">
        <v>7.8034623999999999</v>
      </c>
      <c r="CN4" s="1">
        <v>6</v>
      </c>
      <c r="CO4" s="1">
        <v>1</v>
      </c>
      <c r="CP4" s="1" t="s">
        <v>152</v>
      </c>
      <c r="CQ4" s="1" t="s">
        <v>99</v>
      </c>
      <c r="CS4" s="1" t="s">
        <v>100</v>
      </c>
      <c r="CT4" s="1">
        <v>59.959047980000001</v>
      </c>
      <c r="CU4" s="1" t="s">
        <v>153</v>
      </c>
    </row>
    <row r="5" spans="1:99" x14ac:dyDescent="0.35">
      <c r="A5" s="1" t="s">
        <v>111</v>
      </c>
      <c r="B5" s="1">
        <v>1</v>
      </c>
      <c r="C5" s="1">
        <v>1</v>
      </c>
      <c r="D5" s="1">
        <v>0</v>
      </c>
      <c r="M5" s="1">
        <v>0</v>
      </c>
      <c r="N5" s="1">
        <v>1</v>
      </c>
      <c r="O5" s="1">
        <v>1</v>
      </c>
      <c r="P5" s="1">
        <v>3</v>
      </c>
      <c r="AC5" s="1">
        <v>7.8197393000000002</v>
      </c>
      <c r="AO5" s="1">
        <v>7.8065549000000001</v>
      </c>
      <c r="AP5" s="1">
        <v>7.8197393000000002</v>
      </c>
      <c r="AQ5" s="1">
        <v>8.8196297000000001</v>
      </c>
      <c r="AR5" s="1">
        <v>8.8040810999999994</v>
      </c>
      <c r="AS5" s="1">
        <v>8.8041488000000001</v>
      </c>
      <c r="AT5" s="1">
        <v>8.8196297000000001</v>
      </c>
      <c r="AU5" s="1">
        <v>9.3196624999999997</v>
      </c>
      <c r="AV5" s="1">
        <v>9.3031302</v>
      </c>
      <c r="CN5" s="1">
        <v>6</v>
      </c>
      <c r="CO5" s="1">
        <v>1</v>
      </c>
      <c r="CP5" s="1" t="s">
        <v>152</v>
      </c>
      <c r="CQ5" s="1" t="s">
        <v>99</v>
      </c>
      <c r="CS5" s="1" t="s">
        <v>100</v>
      </c>
      <c r="CT5" s="1">
        <v>59.959047980000001</v>
      </c>
      <c r="CU5" s="1" t="s">
        <v>153</v>
      </c>
    </row>
    <row r="6" spans="1:99" x14ac:dyDescent="0.35">
      <c r="A6" s="1" t="s">
        <v>112</v>
      </c>
      <c r="B6" s="1">
        <v>2</v>
      </c>
      <c r="C6" s="1">
        <v>2</v>
      </c>
      <c r="D6" s="1">
        <v>0</v>
      </c>
      <c r="M6" s="1">
        <v>0</v>
      </c>
      <c r="N6" s="1">
        <v>2</v>
      </c>
      <c r="O6" s="1">
        <v>2</v>
      </c>
      <c r="P6" s="1">
        <v>6</v>
      </c>
      <c r="AC6" s="1">
        <v>9.3196624999999997</v>
      </c>
      <c r="AO6" s="1">
        <v>9.3057551000000007</v>
      </c>
      <c r="AP6" s="1">
        <v>9.3196624999999997</v>
      </c>
      <c r="AQ6" s="1">
        <v>10.319817</v>
      </c>
      <c r="AR6" s="1">
        <v>10.3038518</v>
      </c>
      <c r="AS6" s="1">
        <v>10.303896699999999</v>
      </c>
      <c r="AT6" s="1">
        <v>10.319817</v>
      </c>
      <c r="AU6" s="1">
        <v>10.819602100000001</v>
      </c>
      <c r="AV6" s="1">
        <v>10.803404</v>
      </c>
      <c r="CN6" s="1">
        <v>6</v>
      </c>
      <c r="CO6" s="1">
        <v>1</v>
      </c>
      <c r="CP6" s="1" t="s">
        <v>152</v>
      </c>
      <c r="CQ6" s="1" t="s">
        <v>99</v>
      </c>
      <c r="CS6" s="1" t="s">
        <v>100</v>
      </c>
      <c r="CT6" s="1">
        <v>59.959047980000001</v>
      </c>
      <c r="CU6" s="1" t="s">
        <v>153</v>
      </c>
    </row>
    <row r="7" spans="1:99" x14ac:dyDescent="0.35">
      <c r="A7" s="1" t="s">
        <v>107</v>
      </c>
      <c r="B7" s="1">
        <v>3</v>
      </c>
      <c r="C7" s="1">
        <v>3</v>
      </c>
      <c r="D7" s="1">
        <v>0</v>
      </c>
      <c r="M7" s="1">
        <v>0</v>
      </c>
      <c r="N7" s="1">
        <v>3</v>
      </c>
      <c r="O7" s="1">
        <v>3</v>
      </c>
      <c r="P7" s="1">
        <v>9</v>
      </c>
      <c r="AC7" s="1">
        <v>10.819602100000001</v>
      </c>
      <c r="AO7" s="1">
        <v>10.8062012</v>
      </c>
      <c r="AP7" s="1">
        <v>10.819602100000001</v>
      </c>
      <c r="AQ7" s="1">
        <v>11.819876000000001</v>
      </c>
      <c r="AR7" s="1">
        <v>11.803493</v>
      </c>
      <c r="AS7" s="1">
        <v>11.803523</v>
      </c>
      <c r="AT7" s="1">
        <v>11.819876000000001</v>
      </c>
      <c r="AU7" s="1">
        <v>12.319838799999999</v>
      </c>
      <c r="AV7" s="1">
        <v>12.3039404</v>
      </c>
      <c r="CN7" s="1">
        <v>6</v>
      </c>
      <c r="CO7" s="1">
        <v>1</v>
      </c>
      <c r="CP7" s="1" t="s">
        <v>152</v>
      </c>
      <c r="CQ7" s="1" t="s">
        <v>99</v>
      </c>
      <c r="CS7" s="1" t="s">
        <v>100</v>
      </c>
      <c r="CT7" s="1">
        <v>59.959047980000001</v>
      </c>
      <c r="CU7" s="1" t="s">
        <v>153</v>
      </c>
    </row>
    <row r="8" spans="1:99" x14ac:dyDescent="0.35">
      <c r="A8" s="1" t="s">
        <v>106</v>
      </c>
      <c r="B8" s="1">
        <v>4</v>
      </c>
      <c r="C8" s="1">
        <v>4</v>
      </c>
      <c r="D8" s="1">
        <v>0</v>
      </c>
      <c r="M8" s="1">
        <v>0</v>
      </c>
      <c r="N8" s="1">
        <v>4</v>
      </c>
      <c r="O8" s="1">
        <v>4</v>
      </c>
      <c r="P8" s="1">
        <v>0</v>
      </c>
      <c r="AC8" s="1">
        <v>12.319838799999999</v>
      </c>
      <c r="AO8" s="1">
        <v>12.3081733</v>
      </c>
      <c r="AP8" s="1">
        <v>12.319838799999999</v>
      </c>
      <c r="AQ8" s="1">
        <v>13.319849100000001</v>
      </c>
      <c r="AR8" s="1">
        <v>13.304031</v>
      </c>
      <c r="AS8" s="1">
        <v>13.3041047</v>
      </c>
      <c r="AT8" s="1">
        <v>13.319849100000001</v>
      </c>
      <c r="AU8" s="1">
        <v>13.820376100000001</v>
      </c>
      <c r="AV8" s="1">
        <v>13.8039656</v>
      </c>
      <c r="CN8" s="1">
        <v>6</v>
      </c>
      <c r="CO8" s="1">
        <v>1</v>
      </c>
      <c r="CP8" s="1" t="s">
        <v>152</v>
      </c>
      <c r="CQ8" s="1" t="s">
        <v>99</v>
      </c>
      <c r="CS8" s="1" t="s">
        <v>100</v>
      </c>
      <c r="CT8" s="1">
        <v>59.959047980000001</v>
      </c>
      <c r="CU8" s="1" t="s">
        <v>153</v>
      </c>
    </row>
    <row r="9" spans="1:99" x14ac:dyDescent="0.35">
      <c r="A9" s="1" t="s">
        <v>109</v>
      </c>
      <c r="B9" s="1">
        <v>5</v>
      </c>
      <c r="C9" s="1">
        <v>5</v>
      </c>
      <c r="D9" s="1">
        <v>0</v>
      </c>
      <c r="M9" s="1">
        <v>0</v>
      </c>
      <c r="N9" s="1">
        <v>5</v>
      </c>
      <c r="O9" s="1">
        <v>5</v>
      </c>
      <c r="P9" s="1">
        <v>8</v>
      </c>
      <c r="AC9" s="1">
        <v>13.820376100000001</v>
      </c>
      <c r="AO9" s="1">
        <v>13.808561600000001</v>
      </c>
      <c r="AP9" s="1">
        <v>13.820376100000001</v>
      </c>
      <c r="AQ9" s="1">
        <v>14.819687500000001</v>
      </c>
      <c r="AR9" s="1">
        <v>14.804111799999999</v>
      </c>
      <c r="AS9" s="1">
        <v>14.8041847</v>
      </c>
      <c r="AT9" s="1">
        <v>14.819687500000001</v>
      </c>
      <c r="AU9" s="1">
        <v>15.3202158</v>
      </c>
      <c r="AV9" s="1">
        <v>15.304095999999999</v>
      </c>
      <c r="CN9" s="1">
        <v>6</v>
      </c>
      <c r="CO9" s="1">
        <v>1</v>
      </c>
      <c r="CP9" s="1" t="s">
        <v>152</v>
      </c>
      <c r="CQ9" s="1" t="s">
        <v>99</v>
      </c>
      <c r="CS9" s="1" t="s">
        <v>100</v>
      </c>
      <c r="CT9" s="1">
        <v>59.959047980000001</v>
      </c>
      <c r="CU9" s="1" t="s">
        <v>153</v>
      </c>
    </row>
    <row r="10" spans="1:99" x14ac:dyDescent="0.35">
      <c r="A10" s="1" t="s">
        <v>110</v>
      </c>
      <c r="B10" s="1">
        <v>6</v>
      </c>
      <c r="C10" s="1">
        <v>6</v>
      </c>
      <c r="D10" s="1">
        <v>0</v>
      </c>
      <c r="M10" s="1">
        <v>0</v>
      </c>
      <c r="N10" s="1">
        <v>6</v>
      </c>
      <c r="O10" s="1">
        <v>6</v>
      </c>
      <c r="P10" s="1">
        <v>7</v>
      </c>
      <c r="AC10" s="1">
        <v>15.3202158</v>
      </c>
      <c r="AO10" s="1">
        <v>15.308425099999999</v>
      </c>
      <c r="AP10" s="1">
        <v>15.3202158</v>
      </c>
      <c r="AQ10" s="1">
        <v>16.3195707</v>
      </c>
      <c r="AR10" s="1">
        <v>16.303437500000001</v>
      </c>
      <c r="AS10" s="1">
        <v>16.303469799999998</v>
      </c>
      <c r="AT10" s="1">
        <v>16.3195707</v>
      </c>
      <c r="AU10" s="1">
        <v>16.819752000000001</v>
      </c>
      <c r="AV10" s="1">
        <v>16.803324400000001</v>
      </c>
      <c r="CN10" s="1">
        <v>6</v>
      </c>
      <c r="CO10" s="1">
        <v>1</v>
      </c>
      <c r="CP10" s="1" t="s">
        <v>152</v>
      </c>
      <c r="CQ10" s="1" t="s">
        <v>99</v>
      </c>
      <c r="CS10" s="1" t="s">
        <v>100</v>
      </c>
      <c r="CT10" s="1">
        <v>59.959047980000001</v>
      </c>
      <c r="CU10" s="1" t="s">
        <v>153</v>
      </c>
    </row>
    <row r="11" spans="1:99" x14ac:dyDescent="0.35">
      <c r="A11" s="1" t="s">
        <v>105</v>
      </c>
      <c r="B11" s="1">
        <v>7</v>
      </c>
      <c r="C11" s="1">
        <v>7</v>
      </c>
      <c r="D11" s="1">
        <v>0</v>
      </c>
      <c r="M11" s="1">
        <v>0</v>
      </c>
      <c r="N11" s="1">
        <v>7</v>
      </c>
      <c r="O11" s="1">
        <v>7</v>
      </c>
      <c r="P11" s="1">
        <v>1</v>
      </c>
      <c r="AC11" s="1">
        <v>16.819752000000001</v>
      </c>
      <c r="AO11" s="1">
        <v>16.806662800000002</v>
      </c>
      <c r="AP11" s="1">
        <v>16.819752000000001</v>
      </c>
      <c r="AQ11" s="1">
        <v>17.819666999999999</v>
      </c>
      <c r="AR11" s="1">
        <v>17.803634599999999</v>
      </c>
      <c r="AS11" s="1">
        <v>17.80368</v>
      </c>
      <c r="AT11" s="1">
        <v>17.819666999999999</v>
      </c>
      <c r="AU11" s="1">
        <v>18.3199404</v>
      </c>
      <c r="AV11" s="1">
        <v>18.303886599999998</v>
      </c>
      <c r="CN11" s="1">
        <v>6</v>
      </c>
      <c r="CO11" s="1">
        <v>1</v>
      </c>
      <c r="CP11" s="1" t="s">
        <v>152</v>
      </c>
      <c r="CQ11" s="1" t="s">
        <v>99</v>
      </c>
      <c r="CS11" s="1" t="s">
        <v>100</v>
      </c>
      <c r="CT11" s="1">
        <v>59.959047980000001</v>
      </c>
      <c r="CU11" s="1" t="s">
        <v>153</v>
      </c>
    </row>
    <row r="12" spans="1:99" x14ac:dyDescent="0.35">
      <c r="A12" s="1" t="s">
        <v>113</v>
      </c>
      <c r="B12" s="1">
        <v>8</v>
      </c>
      <c r="C12" s="1">
        <v>8</v>
      </c>
      <c r="D12" s="1">
        <v>0</v>
      </c>
      <c r="M12" s="1">
        <v>0</v>
      </c>
      <c r="N12" s="1">
        <v>8</v>
      </c>
      <c r="O12" s="1">
        <v>8</v>
      </c>
      <c r="P12" s="1">
        <v>5</v>
      </c>
      <c r="AC12" s="1">
        <v>18.3199404</v>
      </c>
      <c r="AO12" s="1">
        <v>18.308009800000001</v>
      </c>
      <c r="AP12" s="1">
        <v>18.3199404</v>
      </c>
      <c r="AQ12" s="1">
        <v>19.320330999999999</v>
      </c>
      <c r="AR12" s="1">
        <v>19.3040059</v>
      </c>
      <c r="AS12" s="1">
        <v>19.304074700000001</v>
      </c>
      <c r="AT12" s="1">
        <v>19.320330999999999</v>
      </c>
      <c r="AU12" s="1">
        <v>19.8196108</v>
      </c>
      <c r="AV12" s="1">
        <v>19.8038019</v>
      </c>
      <c r="CN12" s="1">
        <v>6</v>
      </c>
      <c r="CO12" s="1">
        <v>1</v>
      </c>
      <c r="CP12" s="1" t="s">
        <v>152</v>
      </c>
      <c r="CQ12" s="1" t="s">
        <v>99</v>
      </c>
      <c r="CS12" s="1" t="s">
        <v>100</v>
      </c>
      <c r="CT12" s="1">
        <v>59.959047980000001</v>
      </c>
      <c r="CU12" s="1" t="s">
        <v>153</v>
      </c>
    </row>
    <row r="13" spans="1:99" x14ac:dyDescent="0.35">
      <c r="A13" s="1" t="s">
        <v>104</v>
      </c>
      <c r="B13" s="1">
        <v>9</v>
      </c>
      <c r="C13" s="1">
        <v>9</v>
      </c>
      <c r="D13" s="1">
        <v>0</v>
      </c>
      <c r="M13" s="1">
        <v>0</v>
      </c>
      <c r="N13" s="1">
        <v>9</v>
      </c>
      <c r="O13" s="1">
        <v>9</v>
      </c>
      <c r="P13" s="1">
        <v>2</v>
      </c>
      <c r="AC13" s="1">
        <v>19.8196108</v>
      </c>
      <c r="AO13" s="1">
        <v>19.807631499999999</v>
      </c>
      <c r="AP13" s="1">
        <v>19.8196108</v>
      </c>
      <c r="AQ13" s="1">
        <v>20.819608299999999</v>
      </c>
      <c r="AR13" s="1">
        <v>20.8038056</v>
      </c>
      <c r="AS13" s="1">
        <v>20.803864600000001</v>
      </c>
      <c r="AT13" s="1">
        <v>20.819608299999999</v>
      </c>
      <c r="AU13" s="1">
        <v>21.319648399999998</v>
      </c>
      <c r="AV13" s="1">
        <v>21.303463000000001</v>
      </c>
      <c r="CN13" s="1">
        <v>6</v>
      </c>
      <c r="CO13" s="1">
        <v>1</v>
      </c>
      <c r="CP13" s="1" t="s">
        <v>152</v>
      </c>
      <c r="CQ13" s="1" t="s">
        <v>99</v>
      </c>
      <c r="CS13" s="1" t="s">
        <v>100</v>
      </c>
      <c r="CT13" s="1">
        <v>59.959047980000001</v>
      </c>
      <c r="CU13" s="1" t="s">
        <v>153</v>
      </c>
    </row>
    <row r="14" spans="1:99" x14ac:dyDescent="0.35">
      <c r="B14" s="1">
        <v>0</v>
      </c>
      <c r="C14" s="1">
        <v>0</v>
      </c>
      <c r="D14" s="1">
        <v>0</v>
      </c>
      <c r="E14" s="1" t="s">
        <v>123</v>
      </c>
      <c r="Q14" s="1">
        <v>0</v>
      </c>
      <c r="R14" s="1">
        <v>0</v>
      </c>
      <c r="S14" s="1">
        <v>0</v>
      </c>
      <c r="T14" s="1">
        <v>2</v>
      </c>
      <c r="AC14" s="1">
        <v>21.319648399999998</v>
      </c>
      <c r="AS14" s="1">
        <v>22.303728</v>
      </c>
      <c r="AT14" s="1">
        <v>22.319657899999999</v>
      </c>
      <c r="AU14" s="1">
        <v>22.8201003</v>
      </c>
      <c r="AV14" s="1">
        <v>22.803790500000002</v>
      </c>
      <c r="AW14" s="1">
        <v>21.316604900000002</v>
      </c>
      <c r="AX14" s="1">
        <v>21.319648399999998</v>
      </c>
      <c r="AY14" s="1">
        <v>22.319657899999999</v>
      </c>
      <c r="AZ14" s="1">
        <v>22.303680400000001</v>
      </c>
      <c r="CN14" s="1">
        <v>6</v>
      </c>
      <c r="CO14" s="1">
        <v>1</v>
      </c>
      <c r="CP14" s="1" t="s">
        <v>152</v>
      </c>
      <c r="CQ14" s="1" t="s">
        <v>99</v>
      </c>
      <c r="CS14" s="1" t="s">
        <v>100</v>
      </c>
      <c r="CT14" s="1">
        <v>59.959047980000001</v>
      </c>
      <c r="CU14" s="1" t="s">
        <v>153</v>
      </c>
    </row>
    <row r="15" spans="1:99" x14ac:dyDescent="0.35">
      <c r="B15" s="1">
        <v>1</v>
      </c>
      <c r="C15" s="1">
        <v>1</v>
      </c>
      <c r="D15" s="1">
        <v>0</v>
      </c>
      <c r="E15" s="1" t="s">
        <v>122</v>
      </c>
      <c r="Q15" s="1">
        <v>0</v>
      </c>
      <c r="R15" s="1">
        <v>1</v>
      </c>
      <c r="S15" s="1">
        <v>1</v>
      </c>
      <c r="T15" s="1">
        <v>8</v>
      </c>
      <c r="AC15" s="1">
        <v>22.8201003</v>
      </c>
      <c r="AS15" s="1">
        <v>23.8036654</v>
      </c>
      <c r="AT15" s="1">
        <v>23.819637199999999</v>
      </c>
      <c r="AU15" s="1">
        <v>24.3195671</v>
      </c>
      <c r="AV15" s="1">
        <v>24.3034699</v>
      </c>
      <c r="AW15" s="1">
        <v>22.808418</v>
      </c>
      <c r="AX15" s="1">
        <v>22.8201003</v>
      </c>
      <c r="AY15" s="1">
        <v>23.819637199999999</v>
      </c>
      <c r="AZ15" s="1">
        <v>23.803618400000001</v>
      </c>
      <c r="CN15" s="1">
        <v>6</v>
      </c>
      <c r="CO15" s="1">
        <v>1</v>
      </c>
      <c r="CP15" s="1" t="s">
        <v>152</v>
      </c>
      <c r="CQ15" s="1" t="s">
        <v>99</v>
      </c>
      <c r="CS15" s="1" t="s">
        <v>100</v>
      </c>
      <c r="CT15" s="1">
        <v>59.959047980000001</v>
      </c>
      <c r="CU15" s="1" t="s">
        <v>153</v>
      </c>
    </row>
    <row r="16" spans="1:99" x14ac:dyDescent="0.35">
      <c r="B16" s="1">
        <v>2</v>
      </c>
      <c r="C16" s="1">
        <v>2</v>
      </c>
      <c r="D16" s="1">
        <v>0</v>
      </c>
      <c r="E16" s="1" t="s">
        <v>118</v>
      </c>
      <c r="Q16" s="1">
        <v>0</v>
      </c>
      <c r="R16" s="1">
        <v>2</v>
      </c>
      <c r="S16" s="1">
        <v>2</v>
      </c>
      <c r="T16" s="1">
        <v>6</v>
      </c>
      <c r="AC16" s="1">
        <v>24.3195671</v>
      </c>
      <c r="AS16" s="1">
        <v>25.303510500000002</v>
      </c>
      <c r="AT16" s="1">
        <v>25.319759900000001</v>
      </c>
      <c r="AU16" s="1">
        <v>25.819537100000002</v>
      </c>
      <c r="AV16" s="1">
        <v>25.8032836</v>
      </c>
      <c r="AW16" s="1">
        <v>24.3067338</v>
      </c>
      <c r="AX16" s="1">
        <v>24.3195671</v>
      </c>
      <c r="AY16" s="1">
        <v>25.319759900000001</v>
      </c>
      <c r="AZ16" s="1">
        <v>25.303469499999999</v>
      </c>
      <c r="CN16" s="1">
        <v>6</v>
      </c>
      <c r="CO16" s="1">
        <v>1</v>
      </c>
      <c r="CP16" s="1" t="s">
        <v>152</v>
      </c>
      <c r="CQ16" s="1" t="s">
        <v>99</v>
      </c>
      <c r="CS16" s="1" t="s">
        <v>100</v>
      </c>
      <c r="CT16" s="1">
        <v>59.959047980000001</v>
      </c>
      <c r="CU16" s="1" t="s">
        <v>153</v>
      </c>
    </row>
    <row r="17" spans="2:99" x14ac:dyDescent="0.35">
      <c r="B17" s="1">
        <v>3</v>
      </c>
      <c r="C17" s="1">
        <v>3</v>
      </c>
      <c r="D17" s="1">
        <v>0</v>
      </c>
      <c r="E17" s="1" t="s">
        <v>121</v>
      </c>
      <c r="Q17" s="1">
        <v>0</v>
      </c>
      <c r="R17" s="1">
        <v>3</v>
      </c>
      <c r="S17" s="1">
        <v>3</v>
      </c>
      <c r="T17" s="1">
        <v>3</v>
      </c>
      <c r="AC17" s="1">
        <v>25.819537100000002</v>
      </c>
      <c r="AS17" s="1">
        <v>26.8035207</v>
      </c>
      <c r="AT17" s="1">
        <v>26.8196254</v>
      </c>
      <c r="AU17" s="1">
        <v>27.320146000000001</v>
      </c>
      <c r="AV17" s="1">
        <v>27.304090800000001</v>
      </c>
      <c r="AW17" s="1">
        <v>25.806143200000001</v>
      </c>
      <c r="AX17" s="1">
        <v>25.819537100000002</v>
      </c>
      <c r="AY17" s="1">
        <v>26.8196254</v>
      </c>
      <c r="AZ17" s="1">
        <v>26.803472500000002</v>
      </c>
      <c r="CN17" s="1">
        <v>6</v>
      </c>
      <c r="CO17" s="1">
        <v>1</v>
      </c>
      <c r="CP17" s="1" t="s">
        <v>152</v>
      </c>
      <c r="CQ17" s="1" t="s">
        <v>99</v>
      </c>
      <c r="CS17" s="1" t="s">
        <v>100</v>
      </c>
      <c r="CT17" s="1">
        <v>59.959047980000001</v>
      </c>
      <c r="CU17" s="1" t="s">
        <v>153</v>
      </c>
    </row>
    <row r="18" spans="2:99" x14ac:dyDescent="0.35">
      <c r="B18" s="1">
        <v>4</v>
      </c>
      <c r="C18" s="1">
        <v>4</v>
      </c>
      <c r="D18" s="1">
        <v>0</v>
      </c>
      <c r="E18" s="1" t="s">
        <v>120</v>
      </c>
      <c r="Q18" s="1">
        <v>0</v>
      </c>
      <c r="R18" s="1">
        <v>4</v>
      </c>
      <c r="S18" s="1">
        <v>4</v>
      </c>
      <c r="T18" s="1">
        <v>4</v>
      </c>
      <c r="AC18" s="1">
        <v>27.320146000000001</v>
      </c>
      <c r="AS18" s="1">
        <v>28.303472299999999</v>
      </c>
      <c r="AT18" s="1">
        <v>28.3199325</v>
      </c>
      <c r="AU18" s="1">
        <v>28.819487299999999</v>
      </c>
      <c r="AV18" s="1">
        <v>28.8034043</v>
      </c>
      <c r="AW18" s="1">
        <v>27.308569299999998</v>
      </c>
      <c r="AX18" s="1">
        <v>27.320146000000001</v>
      </c>
      <c r="AY18" s="1">
        <v>28.3199325</v>
      </c>
      <c r="AZ18" s="1">
        <v>28.303424700000001</v>
      </c>
      <c r="CN18" s="1">
        <v>6</v>
      </c>
      <c r="CO18" s="1">
        <v>1</v>
      </c>
      <c r="CP18" s="1" t="s">
        <v>152</v>
      </c>
      <c r="CQ18" s="1" t="s">
        <v>99</v>
      </c>
      <c r="CS18" s="1" t="s">
        <v>100</v>
      </c>
      <c r="CT18" s="1">
        <v>59.959047980000001</v>
      </c>
      <c r="CU18" s="1" t="s">
        <v>153</v>
      </c>
    </row>
    <row r="19" spans="2:99" x14ac:dyDescent="0.35">
      <c r="B19" s="1">
        <v>5</v>
      </c>
      <c r="C19" s="1">
        <v>5</v>
      </c>
      <c r="D19" s="1">
        <v>0</v>
      </c>
      <c r="E19" s="1" t="s">
        <v>115</v>
      </c>
      <c r="Q19" s="1">
        <v>0</v>
      </c>
      <c r="R19" s="1">
        <v>5</v>
      </c>
      <c r="S19" s="1">
        <v>5</v>
      </c>
      <c r="T19" s="1">
        <v>7</v>
      </c>
      <c r="AC19" s="1">
        <v>28.819487299999999</v>
      </c>
      <c r="AS19" s="1">
        <v>29.803890500000001</v>
      </c>
      <c r="AT19" s="1">
        <v>29.819860299999998</v>
      </c>
      <c r="AU19" s="1">
        <v>30.319857599999999</v>
      </c>
      <c r="AV19" s="1">
        <v>30.303792000000001</v>
      </c>
      <c r="AW19" s="1">
        <v>28.806964000000001</v>
      </c>
      <c r="AX19" s="1">
        <v>28.819487299999999</v>
      </c>
      <c r="AY19" s="1">
        <v>29.819860299999998</v>
      </c>
      <c r="AZ19" s="1">
        <v>29.8038214</v>
      </c>
      <c r="CN19" s="1">
        <v>6</v>
      </c>
      <c r="CO19" s="1">
        <v>1</v>
      </c>
      <c r="CP19" s="1" t="s">
        <v>152</v>
      </c>
      <c r="CQ19" s="1" t="s">
        <v>99</v>
      </c>
      <c r="CS19" s="1" t="s">
        <v>100</v>
      </c>
      <c r="CT19" s="1">
        <v>59.959047980000001</v>
      </c>
      <c r="CU19" s="1" t="s">
        <v>153</v>
      </c>
    </row>
    <row r="20" spans="2:99" x14ac:dyDescent="0.35">
      <c r="B20" s="1">
        <v>6</v>
      </c>
      <c r="C20" s="1">
        <v>6</v>
      </c>
      <c r="D20" s="1">
        <v>0</v>
      </c>
      <c r="E20" s="1" t="s">
        <v>117</v>
      </c>
      <c r="Q20" s="1">
        <v>0</v>
      </c>
      <c r="R20" s="1">
        <v>6</v>
      </c>
      <c r="S20" s="1">
        <v>6</v>
      </c>
      <c r="T20" s="1">
        <v>1</v>
      </c>
      <c r="AC20" s="1">
        <v>30.319857599999999</v>
      </c>
      <c r="AS20" s="1">
        <v>31.303907299999999</v>
      </c>
      <c r="AT20" s="1">
        <v>31.320399800000001</v>
      </c>
      <c r="AU20" s="1">
        <v>31.819994900000001</v>
      </c>
      <c r="AV20" s="1">
        <v>31.8035411</v>
      </c>
      <c r="AW20" s="1">
        <v>30.308578600000001</v>
      </c>
      <c r="AX20" s="1">
        <v>30.319857599999999</v>
      </c>
      <c r="AY20" s="1">
        <v>31.320399800000001</v>
      </c>
      <c r="AZ20" s="1">
        <v>31.303857099999998</v>
      </c>
      <c r="CN20" s="1">
        <v>6</v>
      </c>
      <c r="CO20" s="1">
        <v>1</v>
      </c>
      <c r="CP20" s="1" t="s">
        <v>152</v>
      </c>
      <c r="CQ20" s="1" t="s">
        <v>99</v>
      </c>
      <c r="CS20" s="1" t="s">
        <v>100</v>
      </c>
      <c r="CT20" s="1">
        <v>59.959047980000001</v>
      </c>
      <c r="CU20" s="1" t="s">
        <v>153</v>
      </c>
    </row>
    <row r="21" spans="2:99" x14ac:dyDescent="0.35">
      <c r="B21" s="1">
        <v>7</v>
      </c>
      <c r="C21" s="1">
        <v>7</v>
      </c>
      <c r="D21" s="1">
        <v>0</v>
      </c>
      <c r="E21" s="1" t="s">
        <v>114</v>
      </c>
      <c r="Q21" s="1">
        <v>0</v>
      </c>
      <c r="R21" s="1">
        <v>7</v>
      </c>
      <c r="S21" s="1">
        <v>7</v>
      </c>
      <c r="T21" s="1">
        <v>5</v>
      </c>
      <c r="AC21" s="1">
        <v>31.819994900000001</v>
      </c>
      <c r="AS21" s="1">
        <v>32.803768099999999</v>
      </c>
      <c r="AT21" s="1">
        <v>32.8193926</v>
      </c>
      <c r="AU21" s="1">
        <v>33.320186499999998</v>
      </c>
      <c r="AV21" s="1">
        <v>33.303852499999998</v>
      </c>
      <c r="AW21" s="1">
        <v>31.807804000000001</v>
      </c>
      <c r="AX21" s="1">
        <v>31.819994900000001</v>
      </c>
      <c r="AY21" s="1">
        <v>32.8193926</v>
      </c>
      <c r="AZ21" s="1">
        <v>32.8036995</v>
      </c>
      <c r="CN21" s="1">
        <v>6</v>
      </c>
      <c r="CO21" s="1">
        <v>1</v>
      </c>
      <c r="CP21" s="1" t="s">
        <v>152</v>
      </c>
      <c r="CQ21" s="1" t="s">
        <v>99</v>
      </c>
      <c r="CS21" s="1" t="s">
        <v>100</v>
      </c>
      <c r="CT21" s="1">
        <v>59.959047980000001</v>
      </c>
      <c r="CU21" s="1" t="s">
        <v>153</v>
      </c>
    </row>
    <row r="22" spans="2:99" x14ac:dyDescent="0.35">
      <c r="B22" s="1">
        <v>8</v>
      </c>
      <c r="C22" s="1">
        <v>8</v>
      </c>
      <c r="D22" s="1">
        <v>0</v>
      </c>
      <c r="E22" s="1" t="s">
        <v>119</v>
      </c>
      <c r="Q22" s="1">
        <v>0</v>
      </c>
      <c r="R22" s="1">
        <v>8</v>
      </c>
      <c r="S22" s="1">
        <v>8</v>
      </c>
      <c r="T22" s="1">
        <v>9</v>
      </c>
      <c r="AC22" s="1">
        <v>33.320186499999998</v>
      </c>
      <c r="AS22" s="1">
        <v>34.303980799999998</v>
      </c>
      <c r="AT22" s="1">
        <v>34.319755899999997</v>
      </c>
      <c r="AU22" s="1">
        <v>34.820028800000003</v>
      </c>
      <c r="AV22" s="1">
        <v>34.802843600000003</v>
      </c>
      <c r="AW22" s="1">
        <v>33.3073896</v>
      </c>
      <c r="AX22" s="1">
        <v>33.320186499999998</v>
      </c>
      <c r="AY22" s="1">
        <v>34.319755899999997</v>
      </c>
      <c r="AZ22" s="1">
        <v>34.303916899999997</v>
      </c>
      <c r="CN22" s="1">
        <v>6</v>
      </c>
      <c r="CO22" s="1">
        <v>1</v>
      </c>
      <c r="CP22" s="1" t="s">
        <v>152</v>
      </c>
      <c r="CQ22" s="1" t="s">
        <v>99</v>
      </c>
      <c r="CS22" s="1" t="s">
        <v>100</v>
      </c>
      <c r="CT22" s="1">
        <v>59.959047980000001</v>
      </c>
      <c r="CU22" s="1" t="s">
        <v>153</v>
      </c>
    </row>
    <row r="23" spans="2:99" x14ac:dyDescent="0.35">
      <c r="B23" s="1">
        <v>9</v>
      </c>
      <c r="C23" s="1">
        <v>9</v>
      </c>
      <c r="D23" s="1">
        <v>0</v>
      </c>
      <c r="E23" s="1" t="s">
        <v>116</v>
      </c>
      <c r="Q23" s="1">
        <v>0</v>
      </c>
      <c r="R23" s="1">
        <v>9</v>
      </c>
      <c r="S23" s="1">
        <v>9</v>
      </c>
      <c r="T23" s="1">
        <v>0</v>
      </c>
      <c r="AC23" s="1">
        <v>34.820028800000003</v>
      </c>
      <c r="AS23" s="1">
        <v>35.803731999999997</v>
      </c>
      <c r="AT23" s="1">
        <v>35.819508200000001</v>
      </c>
      <c r="AU23" s="1">
        <v>36.418221600000003</v>
      </c>
      <c r="AV23" s="1">
        <v>36.303505199999996</v>
      </c>
      <c r="AW23" s="1">
        <v>34.805746900000003</v>
      </c>
      <c r="AX23" s="1">
        <v>34.820028800000003</v>
      </c>
      <c r="AY23" s="1">
        <v>35.819508200000001</v>
      </c>
      <c r="AZ23" s="1">
        <v>35.803668299999998</v>
      </c>
      <c r="CN23" s="1">
        <v>6</v>
      </c>
      <c r="CO23" s="1">
        <v>1</v>
      </c>
      <c r="CP23" s="1" t="s">
        <v>152</v>
      </c>
      <c r="CQ23" s="1" t="s">
        <v>99</v>
      </c>
      <c r="CS23" s="1" t="s">
        <v>100</v>
      </c>
      <c r="CT23" s="1">
        <v>59.959047980000001</v>
      </c>
      <c r="CU23" s="1" t="s">
        <v>153</v>
      </c>
    </row>
    <row r="24" spans="2:99" x14ac:dyDescent="0.35">
      <c r="B24" s="1">
        <v>0</v>
      </c>
      <c r="C24" s="1">
        <v>0</v>
      </c>
      <c r="D24" s="1">
        <v>0</v>
      </c>
      <c r="F24" s="1" t="s">
        <v>124</v>
      </c>
      <c r="U24" s="1">
        <v>0</v>
      </c>
      <c r="V24" s="1">
        <v>0</v>
      </c>
      <c r="W24" s="1">
        <v>0</v>
      </c>
      <c r="X24" s="1">
        <v>7</v>
      </c>
      <c r="AC24" s="1">
        <v>36.418221600000003</v>
      </c>
      <c r="AS24" s="1">
        <v>37.320070999999999</v>
      </c>
      <c r="AT24" s="1">
        <v>37.336483600000001</v>
      </c>
      <c r="AV24" s="1">
        <v>37.819993099999998</v>
      </c>
      <c r="BA24" s="1">
        <v>36.414259000000001</v>
      </c>
      <c r="BB24" s="1">
        <v>36.418221600000003</v>
      </c>
      <c r="BC24" s="1">
        <v>37.319983700000002</v>
      </c>
      <c r="CN24" s="1">
        <v>6</v>
      </c>
      <c r="CO24" s="1">
        <v>1</v>
      </c>
      <c r="CP24" s="1" t="s">
        <v>152</v>
      </c>
      <c r="CQ24" s="1" t="s">
        <v>99</v>
      </c>
      <c r="CS24" s="1" t="s">
        <v>100</v>
      </c>
      <c r="CT24" s="1">
        <v>59.959047980000001</v>
      </c>
      <c r="CU24" s="1" t="s">
        <v>153</v>
      </c>
    </row>
    <row r="25" spans="2:99" x14ac:dyDescent="0.35">
      <c r="B25" s="1">
        <v>1</v>
      </c>
      <c r="C25" s="1">
        <v>1</v>
      </c>
      <c r="D25" s="1">
        <v>0</v>
      </c>
      <c r="F25" s="1" t="s">
        <v>125</v>
      </c>
      <c r="U25" s="1">
        <v>0</v>
      </c>
      <c r="V25" s="1">
        <v>1</v>
      </c>
      <c r="W25" s="1">
        <v>1</v>
      </c>
      <c r="X25" s="1">
        <v>8</v>
      </c>
      <c r="AC25" s="1">
        <v>37.836501499999997</v>
      </c>
      <c r="AS25" s="1">
        <v>38.820605200000003</v>
      </c>
      <c r="AT25" s="1">
        <v>38.835815599999997</v>
      </c>
      <c r="AV25" s="1">
        <v>39.3202833</v>
      </c>
      <c r="BA25" s="1">
        <v>37.825790400000002</v>
      </c>
      <c r="BB25" s="1">
        <v>37.836501499999997</v>
      </c>
      <c r="BC25" s="1">
        <v>38.8205247</v>
      </c>
      <c r="CN25" s="1">
        <v>6</v>
      </c>
      <c r="CO25" s="1">
        <v>1</v>
      </c>
      <c r="CP25" s="1" t="s">
        <v>152</v>
      </c>
      <c r="CQ25" s="1" t="s">
        <v>99</v>
      </c>
      <c r="CS25" s="1" t="s">
        <v>100</v>
      </c>
      <c r="CT25" s="1">
        <v>59.959047980000001</v>
      </c>
      <c r="CU25" s="1" t="s">
        <v>153</v>
      </c>
    </row>
    <row r="26" spans="2:99" x14ac:dyDescent="0.35">
      <c r="B26" s="1">
        <v>2</v>
      </c>
      <c r="C26" s="1">
        <v>2</v>
      </c>
      <c r="D26" s="1">
        <v>0</v>
      </c>
      <c r="F26" s="1" t="s">
        <v>130</v>
      </c>
      <c r="U26" s="1">
        <v>0</v>
      </c>
      <c r="V26" s="1">
        <v>2</v>
      </c>
      <c r="W26" s="1">
        <v>2</v>
      </c>
      <c r="X26" s="1">
        <v>3</v>
      </c>
      <c r="AC26" s="1">
        <v>39.336481800000001</v>
      </c>
      <c r="AS26" s="1">
        <v>40.3198097</v>
      </c>
      <c r="AT26" s="1">
        <v>40.336150199999999</v>
      </c>
      <c r="AV26" s="1">
        <v>40.820105900000001</v>
      </c>
      <c r="BA26" s="1">
        <v>39.323947599999997</v>
      </c>
      <c r="BB26" s="1">
        <v>39.336481800000001</v>
      </c>
      <c r="BC26" s="1">
        <v>40.319758200000003</v>
      </c>
      <c r="CN26" s="1">
        <v>6</v>
      </c>
      <c r="CO26" s="1">
        <v>1</v>
      </c>
      <c r="CP26" s="1" t="s">
        <v>152</v>
      </c>
      <c r="CQ26" s="1" t="s">
        <v>99</v>
      </c>
      <c r="CS26" s="1" t="s">
        <v>100</v>
      </c>
      <c r="CT26" s="1">
        <v>59.959047980000001</v>
      </c>
      <c r="CU26" s="1" t="s">
        <v>153</v>
      </c>
    </row>
    <row r="27" spans="2:99" x14ac:dyDescent="0.35">
      <c r="B27" s="1">
        <v>3</v>
      </c>
      <c r="C27" s="1">
        <v>3</v>
      </c>
      <c r="D27" s="1">
        <v>0</v>
      </c>
      <c r="F27" s="1" t="s">
        <v>128</v>
      </c>
      <c r="U27" s="1">
        <v>0</v>
      </c>
      <c r="V27" s="1">
        <v>3</v>
      </c>
      <c r="W27" s="1">
        <v>3</v>
      </c>
      <c r="X27" s="1">
        <v>6</v>
      </c>
      <c r="AC27" s="1">
        <v>40.8360907</v>
      </c>
      <c r="AS27" s="1">
        <v>41.819514400000003</v>
      </c>
      <c r="AT27" s="1">
        <v>41.835951399999999</v>
      </c>
      <c r="AV27" s="1">
        <v>42.319885499999998</v>
      </c>
      <c r="BA27" s="1">
        <v>40.825104400000001</v>
      </c>
      <c r="BB27" s="1">
        <v>40.8360907</v>
      </c>
      <c r="BC27" s="1">
        <v>41.819454800000003</v>
      </c>
      <c r="CN27" s="1">
        <v>6</v>
      </c>
      <c r="CO27" s="1">
        <v>1</v>
      </c>
      <c r="CP27" s="1" t="s">
        <v>152</v>
      </c>
      <c r="CQ27" s="1" t="s">
        <v>99</v>
      </c>
      <c r="CS27" s="1" t="s">
        <v>100</v>
      </c>
      <c r="CT27" s="1">
        <v>59.959047980000001</v>
      </c>
      <c r="CU27" s="1" t="s">
        <v>153</v>
      </c>
    </row>
    <row r="28" spans="2:99" x14ac:dyDescent="0.35">
      <c r="B28" s="1">
        <v>4</v>
      </c>
      <c r="C28" s="1">
        <v>4</v>
      </c>
      <c r="D28" s="1">
        <v>0</v>
      </c>
      <c r="F28" s="1" t="s">
        <v>133</v>
      </c>
      <c r="U28" s="1">
        <v>0</v>
      </c>
      <c r="V28" s="1">
        <v>4</v>
      </c>
      <c r="W28" s="1">
        <v>4</v>
      </c>
      <c r="X28" s="1">
        <v>1</v>
      </c>
      <c r="AC28" s="1">
        <v>42.336187000000002</v>
      </c>
      <c r="AS28" s="1">
        <v>43.320269600000003</v>
      </c>
      <c r="AT28" s="1">
        <v>43.336340800000002</v>
      </c>
      <c r="AV28" s="1">
        <v>43.819806999999997</v>
      </c>
      <c r="BA28" s="1">
        <v>42.324106499999999</v>
      </c>
      <c r="BB28" s="1">
        <v>42.336187000000002</v>
      </c>
      <c r="BC28" s="1">
        <v>43.3201818</v>
      </c>
      <c r="CN28" s="1">
        <v>6</v>
      </c>
      <c r="CO28" s="1">
        <v>1</v>
      </c>
      <c r="CP28" s="1" t="s">
        <v>152</v>
      </c>
      <c r="CQ28" s="1" t="s">
        <v>99</v>
      </c>
      <c r="CS28" s="1" t="s">
        <v>100</v>
      </c>
      <c r="CT28" s="1">
        <v>59.959047980000001</v>
      </c>
      <c r="CU28" s="1" t="s">
        <v>153</v>
      </c>
    </row>
    <row r="29" spans="2:99" x14ac:dyDescent="0.35">
      <c r="B29" s="1">
        <v>5</v>
      </c>
      <c r="C29" s="1">
        <v>5</v>
      </c>
      <c r="D29" s="1">
        <v>0</v>
      </c>
      <c r="F29" s="1" t="s">
        <v>127</v>
      </c>
      <c r="U29" s="1">
        <v>0</v>
      </c>
      <c r="V29" s="1">
        <v>5</v>
      </c>
      <c r="W29" s="1">
        <v>5</v>
      </c>
      <c r="X29" s="1">
        <v>5</v>
      </c>
      <c r="AC29" s="1">
        <v>43.835995500000003</v>
      </c>
      <c r="AS29" s="1">
        <v>44.8197981</v>
      </c>
      <c r="AT29" s="1">
        <v>44.836021299999999</v>
      </c>
      <c r="AV29" s="1">
        <v>45.3201976</v>
      </c>
      <c r="BA29" s="1">
        <v>43.826766399999997</v>
      </c>
      <c r="BB29" s="1">
        <v>43.835995500000003</v>
      </c>
      <c r="BC29" s="1">
        <v>44.819741</v>
      </c>
      <c r="CN29" s="1">
        <v>6</v>
      </c>
      <c r="CO29" s="1">
        <v>1</v>
      </c>
      <c r="CP29" s="1" t="s">
        <v>152</v>
      </c>
      <c r="CQ29" s="1" t="s">
        <v>99</v>
      </c>
      <c r="CS29" s="1" t="s">
        <v>100</v>
      </c>
      <c r="CT29" s="1">
        <v>59.959047980000001</v>
      </c>
      <c r="CU29" s="1" t="s">
        <v>153</v>
      </c>
    </row>
    <row r="30" spans="2:99" x14ac:dyDescent="0.35">
      <c r="B30" s="1">
        <v>6</v>
      </c>
      <c r="C30" s="1">
        <v>6</v>
      </c>
      <c r="D30" s="1">
        <v>0</v>
      </c>
      <c r="F30" s="1" t="s">
        <v>129</v>
      </c>
      <c r="U30" s="1">
        <v>0</v>
      </c>
      <c r="V30" s="1">
        <v>6</v>
      </c>
      <c r="W30" s="1">
        <v>6</v>
      </c>
      <c r="X30" s="1">
        <v>0</v>
      </c>
      <c r="AC30" s="1">
        <v>45.3363078</v>
      </c>
      <c r="AS30" s="1">
        <v>46.3202012</v>
      </c>
      <c r="AT30" s="1">
        <v>46.336489999999998</v>
      </c>
      <c r="AV30" s="1">
        <v>46.820068499999998</v>
      </c>
      <c r="BA30" s="1">
        <v>45.323903000000001</v>
      </c>
      <c r="BB30" s="1">
        <v>45.3363078</v>
      </c>
      <c r="BC30" s="1">
        <v>46.320104000000001</v>
      </c>
      <c r="CN30" s="1">
        <v>6</v>
      </c>
      <c r="CO30" s="1">
        <v>1</v>
      </c>
      <c r="CP30" s="1" t="s">
        <v>152</v>
      </c>
      <c r="CQ30" s="1" t="s">
        <v>99</v>
      </c>
      <c r="CS30" s="1" t="s">
        <v>100</v>
      </c>
      <c r="CT30" s="1">
        <v>59.959047980000001</v>
      </c>
      <c r="CU30" s="1" t="s">
        <v>153</v>
      </c>
    </row>
    <row r="31" spans="2:99" x14ac:dyDescent="0.35">
      <c r="B31" s="1">
        <v>7</v>
      </c>
      <c r="C31" s="1">
        <v>7</v>
      </c>
      <c r="D31" s="1">
        <v>0</v>
      </c>
      <c r="F31" s="1" t="s">
        <v>132</v>
      </c>
      <c r="U31" s="1">
        <v>0</v>
      </c>
      <c r="V31" s="1">
        <v>7</v>
      </c>
      <c r="W31" s="1">
        <v>7</v>
      </c>
      <c r="X31" s="1">
        <v>9</v>
      </c>
      <c r="AC31" s="1">
        <v>46.836525399999999</v>
      </c>
      <c r="AS31" s="1">
        <v>47.820283500000002</v>
      </c>
      <c r="AT31" s="1">
        <v>47.835998400000001</v>
      </c>
      <c r="AV31" s="1">
        <v>48.319670100000003</v>
      </c>
      <c r="BA31" s="1">
        <v>46.825423800000003</v>
      </c>
      <c r="BB31" s="1">
        <v>46.836525399999999</v>
      </c>
      <c r="BC31" s="1">
        <v>47.820205299999998</v>
      </c>
      <c r="CN31" s="1">
        <v>6</v>
      </c>
      <c r="CO31" s="1">
        <v>1</v>
      </c>
      <c r="CP31" s="1" t="s">
        <v>152</v>
      </c>
      <c r="CQ31" s="1" t="s">
        <v>99</v>
      </c>
      <c r="CS31" s="1" t="s">
        <v>100</v>
      </c>
      <c r="CT31" s="1">
        <v>59.959047980000001</v>
      </c>
      <c r="CU31" s="1" t="s">
        <v>153</v>
      </c>
    </row>
    <row r="32" spans="2:99" x14ac:dyDescent="0.35">
      <c r="B32" s="1">
        <v>8</v>
      </c>
      <c r="C32" s="1">
        <v>8</v>
      </c>
      <c r="D32" s="1">
        <v>0</v>
      </c>
      <c r="F32" s="1" t="s">
        <v>131</v>
      </c>
      <c r="U32" s="1">
        <v>0</v>
      </c>
      <c r="V32" s="1">
        <v>8</v>
      </c>
      <c r="W32" s="1">
        <v>8</v>
      </c>
      <c r="X32" s="1">
        <v>2</v>
      </c>
      <c r="AC32" s="1">
        <v>48.336337399999998</v>
      </c>
      <c r="AS32" s="1">
        <v>49.3201483</v>
      </c>
      <c r="AT32" s="1">
        <v>49.336437099999998</v>
      </c>
      <c r="AV32" s="1">
        <v>49.819637299999997</v>
      </c>
      <c r="BA32" s="1">
        <v>48.324424100000002</v>
      </c>
      <c r="BB32" s="1">
        <v>48.336337399999998</v>
      </c>
      <c r="BC32" s="1">
        <v>49.320076299999997</v>
      </c>
      <c r="CN32" s="1">
        <v>6</v>
      </c>
      <c r="CO32" s="1">
        <v>1</v>
      </c>
      <c r="CP32" s="1" t="s">
        <v>152</v>
      </c>
      <c r="CQ32" s="1" t="s">
        <v>99</v>
      </c>
      <c r="CS32" s="1" t="s">
        <v>100</v>
      </c>
      <c r="CT32" s="1">
        <v>59.959047980000001</v>
      </c>
      <c r="CU32" s="1" t="s">
        <v>153</v>
      </c>
    </row>
    <row r="33" spans="2:99" x14ac:dyDescent="0.35">
      <c r="B33" s="1">
        <v>9</v>
      </c>
      <c r="C33" s="1">
        <v>9</v>
      </c>
      <c r="D33" s="1">
        <v>0</v>
      </c>
      <c r="F33" s="1" t="s">
        <v>126</v>
      </c>
      <c r="U33" s="1">
        <v>0</v>
      </c>
      <c r="V33" s="1">
        <v>9</v>
      </c>
      <c r="W33" s="1">
        <v>9</v>
      </c>
      <c r="X33" s="1">
        <v>4</v>
      </c>
      <c r="AC33" s="1">
        <v>49.835933300000001</v>
      </c>
      <c r="AS33" s="1">
        <v>50.819601900000002</v>
      </c>
      <c r="AT33" s="1">
        <v>50.835660799999999</v>
      </c>
      <c r="AV33" s="1">
        <v>51.321103999999998</v>
      </c>
      <c r="BA33" s="1">
        <v>49.8236694</v>
      </c>
      <c r="BB33" s="1">
        <v>49.835933300000001</v>
      </c>
      <c r="BC33" s="1">
        <v>50.819532600000002</v>
      </c>
      <c r="CN33" s="1">
        <v>6</v>
      </c>
      <c r="CO33" s="1">
        <v>1</v>
      </c>
      <c r="CP33" s="1" t="s">
        <v>152</v>
      </c>
      <c r="CQ33" s="1" t="s">
        <v>99</v>
      </c>
      <c r="CS33" s="1" t="s">
        <v>100</v>
      </c>
      <c r="CT33" s="1">
        <v>59.959047980000001</v>
      </c>
      <c r="CU33" s="1" t="s">
        <v>153</v>
      </c>
    </row>
    <row r="34" spans="2:99" x14ac:dyDescent="0.35">
      <c r="BD34" s="1">
        <v>51.321253900000002</v>
      </c>
      <c r="BE34" s="1">
        <v>51.335870800000002</v>
      </c>
      <c r="BF34" s="1">
        <v>51.335870800000002</v>
      </c>
      <c r="BG34" s="1">
        <v>55.869610700000003</v>
      </c>
      <c r="BH34" s="1" t="s">
        <v>102</v>
      </c>
      <c r="BI34" s="1">
        <v>4.5235735000000004</v>
      </c>
      <c r="BJ34" s="1" t="s">
        <v>103</v>
      </c>
      <c r="CN34" s="1">
        <v>6</v>
      </c>
      <c r="CO34" s="1">
        <v>1</v>
      </c>
      <c r="CP34" s="1" t="s">
        <v>152</v>
      </c>
      <c r="CQ34" s="1" t="s">
        <v>99</v>
      </c>
      <c r="CS34" s="1" t="s">
        <v>100</v>
      </c>
      <c r="CT34" s="1">
        <v>59.959047980000001</v>
      </c>
      <c r="CU34" s="1" t="s">
        <v>153</v>
      </c>
    </row>
    <row r="35" spans="2:99" x14ac:dyDescent="0.35">
      <c r="BK35" s="1">
        <v>55.869700600000002</v>
      </c>
      <c r="BL35" s="1">
        <v>55.885493500000003</v>
      </c>
      <c r="BM35" s="1">
        <v>55.885493500000003</v>
      </c>
      <c r="BN35" s="1">
        <v>61.203604800000001</v>
      </c>
      <c r="BO35" s="1">
        <v>3</v>
      </c>
      <c r="BP35" s="1">
        <v>5.3018103999999999</v>
      </c>
      <c r="BQ35" s="1" t="s">
        <v>103</v>
      </c>
      <c r="CN35" s="1">
        <v>6</v>
      </c>
      <c r="CO35" s="1">
        <v>1</v>
      </c>
      <c r="CP35" s="1" t="s">
        <v>152</v>
      </c>
      <c r="CQ35" s="1" t="s">
        <v>99</v>
      </c>
      <c r="CS35" s="1" t="s">
        <v>100</v>
      </c>
      <c r="CT35" s="1">
        <v>59.959047980000001</v>
      </c>
      <c r="CU35" s="1" t="s">
        <v>153</v>
      </c>
    </row>
    <row r="36" spans="2:99" x14ac:dyDescent="0.35">
      <c r="BR36" s="1">
        <v>61.203724100000002</v>
      </c>
      <c r="BS36" s="1">
        <v>61.219678999999999</v>
      </c>
      <c r="BT36" s="1">
        <v>61.219678999999999</v>
      </c>
      <c r="BU36" s="1">
        <v>68.119406999999995</v>
      </c>
      <c r="BV36" s="1" t="s">
        <v>102</v>
      </c>
      <c r="BW36" s="1">
        <v>6.8828484000000003</v>
      </c>
      <c r="BX36" s="1" t="s">
        <v>103</v>
      </c>
      <c r="CN36" s="1">
        <v>6</v>
      </c>
      <c r="CO36" s="1">
        <v>1</v>
      </c>
      <c r="CP36" s="1" t="s">
        <v>152</v>
      </c>
      <c r="CQ36" s="1" t="s">
        <v>99</v>
      </c>
      <c r="CS36" s="1" t="s">
        <v>100</v>
      </c>
      <c r="CT36" s="1">
        <v>59.959047980000001</v>
      </c>
      <c r="CU36" s="1" t="s">
        <v>153</v>
      </c>
    </row>
    <row r="37" spans="2:99" x14ac:dyDescent="0.35">
      <c r="B37" s="1">
        <v>0</v>
      </c>
      <c r="C37" s="1">
        <v>0</v>
      </c>
      <c r="D37" s="1">
        <v>0</v>
      </c>
      <c r="G37" s="1" t="s">
        <v>116</v>
      </c>
      <c r="H37" s="1" t="s">
        <v>134</v>
      </c>
      <c r="I37" s="1" t="s">
        <v>134</v>
      </c>
      <c r="J37" s="1">
        <v>1</v>
      </c>
      <c r="K37" s="1">
        <v>4.3130895000000002</v>
      </c>
      <c r="L37" s="1" t="s">
        <v>103</v>
      </c>
      <c r="Y37" s="1">
        <v>0</v>
      </c>
      <c r="Z37" s="1">
        <v>0</v>
      </c>
      <c r="AA37" s="1">
        <v>0</v>
      </c>
      <c r="AB37" s="1">
        <v>4</v>
      </c>
      <c r="AC37" s="1">
        <v>68.137181600000005</v>
      </c>
      <c r="AS37" s="1">
        <v>72.453231500000001</v>
      </c>
      <c r="AT37" s="1">
        <v>72.469090300000005</v>
      </c>
      <c r="AV37" s="1">
        <v>72.953562399999996</v>
      </c>
      <c r="BY37" s="1">
        <v>68.133703800000006</v>
      </c>
      <c r="BZ37" s="1">
        <v>68.137181600000005</v>
      </c>
      <c r="CA37" s="1">
        <v>68.137181600000005</v>
      </c>
      <c r="CB37" s="1">
        <v>72.453110100000004</v>
      </c>
      <c r="CC37" s="1" t="s">
        <v>134</v>
      </c>
      <c r="CD37" s="1">
        <v>1</v>
      </c>
      <c r="CE37" s="1">
        <v>4.3130895000000002</v>
      </c>
      <c r="CF37" s="1" t="s">
        <v>103</v>
      </c>
      <c r="CN37" s="1">
        <v>6</v>
      </c>
      <c r="CO37" s="1">
        <v>1</v>
      </c>
      <c r="CP37" s="1" t="s">
        <v>152</v>
      </c>
      <c r="CQ37" s="1" t="s">
        <v>99</v>
      </c>
      <c r="CS37" s="1" t="s">
        <v>100</v>
      </c>
      <c r="CT37" s="1">
        <v>59.959047980000001</v>
      </c>
      <c r="CU37" s="1" t="s">
        <v>153</v>
      </c>
    </row>
    <row r="38" spans="2:99" x14ac:dyDescent="0.35">
      <c r="B38" s="1">
        <v>1</v>
      </c>
      <c r="C38" s="1">
        <v>1</v>
      </c>
      <c r="D38" s="1">
        <v>0</v>
      </c>
      <c r="G38" s="1" t="s">
        <v>130</v>
      </c>
      <c r="H38" s="1" t="s">
        <v>134</v>
      </c>
      <c r="I38" s="1" t="s">
        <v>136</v>
      </c>
      <c r="J38" s="1">
        <v>0</v>
      </c>
      <c r="K38" s="1">
        <v>1.3813181999999999</v>
      </c>
      <c r="L38" s="1" t="s">
        <v>103</v>
      </c>
      <c r="Y38" s="1">
        <v>0</v>
      </c>
      <c r="Z38" s="1">
        <v>1</v>
      </c>
      <c r="AA38" s="1">
        <v>1</v>
      </c>
      <c r="AB38" s="1">
        <v>6</v>
      </c>
      <c r="AC38" s="1">
        <v>72.969011899999998</v>
      </c>
      <c r="AS38" s="1">
        <v>74.353309699999997</v>
      </c>
      <c r="AT38" s="1">
        <v>74.369358500000004</v>
      </c>
      <c r="AU38" s="1">
        <v>74.869338200000001</v>
      </c>
      <c r="AV38" s="1">
        <v>74.853018399999996</v>
      </c>
      <c r="BY38" s="1">
        <v>72.957896099999999</v>
      </c>
      <c r="BZ38" s="1">
        <v>72.969011899999998</v>
      </c>
      <c r="CA38" s="1">
        <v>72.969011899999998</v>
      </c>
      <c r="CB38" s="1">
        <v>74.353182099999998</v>
      </c>
      <c r="CC38" s="1" t="s">
        <v>136</v>
      </c>
      <c r="CD38" s="1">
        <v>0</v>
      </c>
      <c r="CE38" s="1">
        <v>1.3813181999999999</v>
      </c>
      <c r="CF38" s="1" t="s">
        <v>103</v>
      </c>
      <c r="CN38" s="1">
        <v>6</v>
      </c>
      <c r="CO38" s="1">
        <v>1</v>
      </c>
      <c r="CP38" s="1" t="s">
        <v>152</v>
      </c>
      <c r="CQ38" s="1" t="s">
        <v>99</v>
      </c>
      <c r="CS38" s="1" t="s">
        <v>100</v>
      </c>
      <c r="CT38" s="1">
        <v>59.959047980000001</v>
      </c>
      <c r="CU38" s="1" t="s">
        <v>153</v>
      </c>
    </row>
    <row r="39" spans="2:99" x14ac:dyDescent="0.35">
      <c r="B39" s="1">
        <v>2</v>
      </c>
      <c r="C39" s="1">
        <v>2</v>
      </c>
      <c r="D39" s="1">
        <v>0</v>
      </c>
      <c r="G39" s="1" t="s">
        <v>135</v>
      </c>
      <c r="H39" s="1" t="s">
        <v>136</v>
      </c>
      <c r="I39" s="1" t="s">
        <v>136</v>
      </c>
      <c r="J39" s="1">
        <v>1</v>
      </c>
      <c r="K39" s="1">
        <v>1.1466947000000001</v>
      </c>
      <c r="L39" s="1" t="s">
        <v>103</v>
      </c>
      <c r="Y39" s="1">
        <v>0</v>
      </c>
      <c r="Z39" s="1">
        <v>2</v>
      </c>
      <c r="AA39" s="1">
        <v>2</v>
      </c>
      <c r="AB39" s="1">
        <v>8</v>
      </c>
      <c r="AC39" s="1">
        <v>74.869338200000001</v>
      </c>
      <c r="AS39" s="1">
        <v>76.019969799999998</v>
      </c>
      <c r="AT39" s="1">
        <v>76.035915599999996</v>
      </c>
      <c r="AU39" s="1">
        <v>76.535680499999998</v>
      </c>
      <c r="AV39" s="1">
        <v>76.519686199999995</v>
      </c>
      <c r="BY39" s="1">
        <v>74.857428799999994</v>
      </c>
      <c r="BZ39" s="1">
        <v>74.869338200000001</v>
      </c>
      <c r="CA39" s="1">
        <v>74.869338200000001</v>
      </c>
      <c r="CB39" s="1">
        <v>76.019848699999997</v>
      </c>
      <c r="CC39" s="1" t="s">
        <v>136</v>
      </c>
      <c r="CD39" s="1">
        <v>1</v>
      </c>
      <c r="CE39" s="1">
        <v>1.1466947000000001</v>
      </c>
      <c r="CF39" s="1" t="s">
        <v>103</v>
      </c>
      <c r="CN39" s="1">
        <v>6</v>
      </c>
      <c r="CO39" s="1">
        <v>1</v>
      </c>
      <c r="CP39" s="1" t="s">
        <v>152</v>
      </c>
      <c r="CQ39" s="1" t="s">
        <v>99</v>
      </c>
      <c r="CS39" s="1" t="s">
        <v>100</v>
      </c>
      <c r="CT39" s="1">
        <v>59.959047980000001</v>
      </c>
      <c r="CU39" s="1" t="s">
        <v>153</v>
      </c>
    </row>
    <row r="40" spans="2:99" x14ac:dyDescent="0.35">
      <c r="B40" s="1">
        <v>3</v>
      </c>
      <c r="C40" s="1">
        <v>3</v>
      </c>
      <c r="D40" s="1">
        <v>0</v>
      </c>
      <c r="G40" s="1" t="s">
        <v>141</v>
      </c>
      <c r="H40" s="1" t="s">
        <v>136</v>
      </c>
      <c r="I40" s="1" t="s">
        <v>134</v>
      </c>
      <c r="J40" s="1">
        <v>0</v>
      </c>
      <c r="K40" s="1">
        <v>3.9014853</v>
      </c>
      <c r="L40" s="1" t="s">
        <v>103</v>
      </c>
      <c r="Y40" s="1">
        <v>0</v>
      </c>
      <c r="Z40" s="1">
        <v>3</v>
      </c>
      <c r="AA40" s="1">
        <v>3</v>
      </c>
      <c r="AB40" s="1">
        <v>1</v>
      </c>
      <c r="AC40" s="1">
        <v>76.535680499999998</v>
      </c>
      <c r="AS40" s="1">
        <v>80.453715399999993</v>
      </c>
      <c r="AT40" s="1">
        <v>80.469189700000001</v>
      </c>
      <c r="AU40" s="1">
        <v>80.9690516</v>
      </c>
      <c r="AV40" s="1">
        <v>80.953144300000005</v>
      </c>
      <c r="BY40" s="1">
        <v>76.523536500000006</v>
      </c>
      <c r="BZ40" s="1">
        <v>76.535680499999998</v>
      </c>
      <c r="CA40" s="1">
        <v>76.535680499999998</v>
      </c>
      <c r="CB40" s="1">
        <v>80.453534500000004</v>
      </c>
      <c r="CC40" s="1" t="s">
        <v>134</v>
      </c>
      <c r="CD40" s="1">
        <v>0</v>
      </c>
      <c r="CE40" s="1">
        <v>3.9014853</v>
      </c>
      <c r="CF40" s="1" t="s">
        <v>103</v>
      </c>
      <c r="CN40" s="1">
        <v>6</v>
      </c>
      <c r="CO40" s="1">
        <v>1</v>
      </c>
      <c r="CP40" s="1" t="s">
        <v>152</v>
      </c>
      <c r="CQ40" s="1" t="s">
        <v>99</v>
      </c>
      <c r="CS40" s="1" t="s">
        <v>100</v>
      </c>
      <c r="CT40" s="1">
        <v>59.959047980000001</v>
      </c>
      <c r="CU40" s="1" t="s">
        <v>153</v>
      </c>
    </row>
    <row r="41" spans="2:99" x14ac:dyDescent="0.35">
      <c r="B41" s="1">
        <v>4</v>
      </c>
      <c r="C41" s="1">
        <v>4</v>
      </c>
      <c r="D41" s="1">
        <v>0</v>
      </c>
      <c r="G41" s="1" t="s">
        <v>129</v>
      </c>
      <c r="H41" s="1" t="s">
        <v>134</v>
      </c>
      <c r="I41" s="1" t="s">
        <v>136</v>
      </c>
      <c r="J41" s="1">
        <v>0</v>
      </c>
      <c r="K41" s="1">
        <v>1.2251547</v>
      </c>
      <c r="L41" s="1" t="s">
        <v>103</v>
      </c>
      <c r="Y41" s="1">
        <v>0</v>
      </c>
      <c r="Z41" s="1">
        <v>4</v>
      </c>
      <c r="AA41" s="1">
        <v>4</v>
      </c>
      <c r="AB41" s="1">
        <v>5</v>
      </c>
      <c r="AC41" s="1">
        <v>80.9690516</v>
      </c>
      <c r="AS41" s="1">
        <v>82.2040966</v>
      </c>
      <c r="AT41" s="1">
        <v>82.2191069</v>
      </c>
      <c r="AU41" s="1">
        <v>82.718749700000004</v>
      </c>
      <c r="AV41" s="1">
        <v>82.702880800000003</v>
      </c>
      <c r="BY41" s="1">
        <v>80.959394900000007</v>
      </c>
      <c r="BZ41" s="1">
        <v>80.9690516</v>
      </c>
      <c r="CA41" s="1">
        <v>80.9690516</v>
      </c>
      <c r="CB41" s="1">
        <v>82.203887899999998</v>
      </c>
      <c r="CC41" s="1" t="s">
        <v>136</v>
      </c>
      <c r="CD41" s="1">
        <v>0</v>
      </c>
      <c r="CE41" s="1">
        <v>1.2251547</v>
      </c>
      <c r="CF41" s="1" t="s">
        <v>103</v>
      </c>
      <c r="CN41" s="1">
        <v>6</v>
      </c>
      <c r="CO41" s="1">
        <v>1</v>
      </c>
      <c r="CP41" s="1" t="s">
        <v>152</v>
      </c>
      <c r="CQ41" s="1" t="s">
        <v>99</v>
      </c>
      <c r="CS41" s="1" t="s">
        <v>100</v>
      </c>
      <c r="CT41" s="1">
        <v>59.959047980000001</v>
      </c>
      <c r="CU41" s="1" t="s">
        <v>153</v>
      </c>
    </row>
    <row r="42" spans="2:99" x14ac:dyDescent="0.35">
      <c r="B42" s="1">
        <v>5</v>
      </c>
      <c r="C42" s="1">
        <v>5</v>
      </c>
      <c r="D42" s="1">
        <v>0</v>
      </c>
      <c r="G42" s="1" t="s">
        <v>139</v>
      </c>
      <c r="H42" s="1" t="s">
        <v>136</v>
      </c>
      <c r="I42" s="1" t="s">
        <v>136</v>
      </c>
      <c r="J42" s="1">
        <v>1</v>
      </c>
      <c r="K42" s="1">
        <v>0.79208330000000005</v>
      </c>
      <c r="L42" s="1" t="s">
        <v>103</v>
      </c>
      <c r="Y42" s="1">
        <v>0</v>
      </c>
      <c r="Z42" s="1">
        <v>5</v>
      </c>
      <c r="AA42" s="1">
        <v>5</v>
      </c>
      <c r="AB42" s="1">
        <v>9</v>
      </c>
      <c r="AC42" s="1">
        <v>82.718749700000004</v>
      </c>
      <c r="AS42" s="1">
        <v>83.519167899999999</v>
      </c>
      <c r="AT42" s="1">
        <v>83.535695500000003</v>
      </c>
      <c r="AU42" s="1">
        <v>84.035575199999997</v>
      </c>
      <c r="AV42" s="1">
        <v>84.019174800000002</v>
      </c>
      <c r="BY42" s="1">
        <v>82.707365800000005</v>
      </c>
      <c r="BZ42" s="1">
        <v>82.718749700000004</v>
      </c>
      <c r="CA42" s="1">
        <v>82.718749700000004</v>
      </c>
      <c r="CB42" s="1">
        <v>83.519072499999993</v>
      </c>
      <c r="CC42" s="1" t="s">
        <v>136</v>
      </c>
      <c r="CD42" s="1">
        <v>1</v>
      </c>
      <c r="CE42" s="1">
        <v>0.79208330000000005</v>
      </c>
      <c r="CF42" s="1" t="s">
        <v>103</v>
      </c>
      <c r="CN42" s="1">
        <v>6</v>
      </c>
      <c r="CO42" s="1">
        <v>1</v>
      </c>
      <c r="CP42" s="1" t="s">
        <v>152</v>
      </c>
      <c r="CQ42" s="1" t="s">
        <v>99</v>
      </c>
      <c r="CS42" s="1" t="s">
        <v>100</v>
      </c>
      <c r="CT42" s="1">
        <v>59.959047980000001</v>
      </c>
      <c r="CU42" s="1" t="s">
        <v>153</v>
      </c>
    </row>
    <row r="43" spans="2:99" x14ac:dyDescent="0.35">
      <c r="B43" s="1">
        <v>6</v>
      </c>
      <c r="C43" s="1">
        <v>6</v>
      </c>
      <c r="D43" s="1">
        <v>0</v>
      </c>
      <c r="G43" s="1" t="s">
        <v>138</v>
      </c>
      <c r="H43" s="1" t="s">
        <v>136</v>
      </c>
      <c r="I43" s="1" t="s">
        <v>134</v>
      </c>
      <c r="J43" s="1">
        <v>0</v>
      </c>
      <c r="K43" s="1">
        <v>1.3076342000000001</v>
      </c>
      <c r="L43" s="1" t="s">
        <v>103</v>
      </c>
      <c r="Y43" s="1">
        <v>0</v>
      </c>
      <c r="Z43" s="1">
        <v>6</v>
      </c>
      <c r="AA43" s="1">
        <v>6</v>
      </c>
      <c r="AB43" s="1">
        <v>0</v>
      </c>
      <c r="AC43" s="1">
        <v>84.035575199999997</v>
      </c>
      <c r="AS43" s="1">
        <v>85.353175100000001</v>
      </c>
      <c r="AT43" s="1">
        <v>85.368939699999999</v>
      </c>
      <c r="AU43" s="1">
        <v>85.868866800000006</v>
      </c>
      <c r="AV43" s="1">
        <v>85.852885999999998</v>
      </c>
      <c r="BY43" s="1">
        <v>84.023072200000001</v>
      </c>
      <c r="BZ43" s="1">
        <v>84.035575199999997</v>
      </c>
      <c r="CA43" s="1">
        <v>84.035575199999997</v>
      </c>
      <c r="CB43" s="1">
        <v>85.353038499999997</v>
      </c>
      <c r="CC43" s="1" t="s">
        <v>134</v>
      </c>
      <c r="CD43" s="1">
        <v>0</v>
      </c>
      <c r="CE43" s="1">
        <v>1.3076342000000001</v>
      </c>
      <c r="CF43" s="1" t="s">
        <v>103</v>
      </c>
      <c r="CN43" s="1">
        <v>6</v>
      </c>
      <c r="CO43" s="1">
        <v>1</v>
      </c>
      <c r="CP43" s="1" t="s">
        <v>152</v>
      </c>
      <c r="CQ43" s="1" t="s">
        <v>99</v>
      </c>
      <c r="CS43" s="1" t="s">
        <v>100</v>
      </c>
      <c r="CT43" s="1">
        <v>59.959047980000001</v>
      </c>
      <c r="CU43" s="1" t="s">
        <v>153</v>
      </c>
    </row>
    <row r="44" spans="2:99" x14ac:dyDescent="0.35">
      <c r="B44" s="1">
        <v>7</v>
      </c>
      <c r="C44" s="1">
        <v>7</v>
      </c>
      <c r="D44" s="1">
        <v>0</v>
      </c>
      <c r="G44" s="1" t="s">
        <v>140</v>
      </c>
      <c r="H44" s="1" t="s">
        <v>136</v>
      </c>
      <c r="I44" s="1" t="s">
        <v>134</v>
      </c>
      <c r="J44" s="1">
        <v>0</v>
      </c>
      <c r="K44" s="1">
        <v>2.19109</v>
      </c>
      <c r="L44" s="1" t="s">
        <v>103</v>
      </c>
      <c r="Y44" s="1">
        <v>0</v>
      </c>
      <c r="Z44" s="1">
        <v>7</v>
      </c>
      <c r="AA44" s="1">
        <v>7</v>
      </c>
      <c r="AB44" s="1">
        <v>2</v>
      </c>
      <c r="AC44" s="1">
        <v>85.868866800000006</v>
      </c>
      <c r="AS44" s="1">
        <v>88.070023399999997</v>
      </c>
      <c r="AT44" s="1">
        <v>88.0857642</v>
      </c>
      <c r="AU44" s="1">
        <v>88.585838100000004</v>
      </c>
      <c r="AV44" s="1">
        <v>88.569643499999998</v>
      </c>
      <c r="BY44" s="1">
        <v>85.856175300000004</v>
      </c>
      <c r="BZ44" s="1">
        <v>85.868866800000006</v>
      </c>
      <c r="CA44" s="1">
        <v>85.868866800000006</v>
      </c>
      <c r="CB44" s="1">
        <v>88.069898499999994</v>
      </c>
      <c r="CC44" s="1" t="s">
        <v>134</v>
      </c>
      <c r="CD44" s="1">
        <v>0</v>
      </c>
      <c r="CE44" s="1">
        <v>2.19109</v>
      </c>
      <c r="CF44" s="1" t="s">
        <v>103</v>
      </c>
      <c r="CN44" s="1">
        <v>6</v>
      </c>
      <c r="CO44" s="1">
        <v>1</v>
      </c>
      <c r="CP44" s="1" t="s">
        <v>152</v>
      </c>
      <c r="CQ44" s="1" t="s">
        <v>99</v>
      </c>
      <c r="CS44" s="1" t="s">
        <v>100</v>
      </c>
      <c r="CT44" s="1">
        <v>59.959047980000001</v>
      </c>
      <c r="CU44" s="1" t="s">
        <v>153</v>
      </c>
    </row>
    <row r="45" spans="2:99" x14ac:dyDescent="0.35">
      <c r="B45" s="1">
        <v>8</v>
      </c>
      <c r="C45" s="1">
        <v>8</v>
      </c>
      <c r="D45" s="1">
        <v>0</v>
      </c>
      <c r="G45" s="1" t="s">
        <v>137</v>
      </c>
      <c r="H45" s="1" t="s">
        <v>136</v>
      </c>
      <c r="I45" s="1" t="s">
        <v>136</v>
      </c>
      <c r="J45" s="1">
        <v>1</v>
      </c>
      <c r="K45" s="1">
        <v>1.102058</v>
      </c>
      <c r="L45" s="1" t="s">
        <v>103</v>
      </c>
      <c r="Y45" s="1">
        <v>0</v>
      </c>
      <c r="Z45" s="1">
        <v>8</v>
      </c>
      <c r="AA45" s="1">
        <v>8</v>
      </c>
      <c r="AB45" s="1">
        <v>7</v>
      </c>
      <c r="AC45" s="1">
        <v>88.585838100000004</v>
      </c>
      <c r="AS45" s="1">
        <v>89.702415299999998</v>
      </c>
      <c r="AT45" s="1">
        <v>89.718386899999999</v>
      </c>
      <c r="AV45" s="1">
        <v>90.203104300000007</v>
      </c>
      <c r="BY45" s="1">
        <v>88.575578699999994</v>
      </c>
      <c r="BZ45" s="1">
        <v>88.585838100000004</v>
      </c>
      <c r="CA45" s="1">
        <v>88.585838100000004</v>
      </c>
      <c r="CB45" s="1">
        <v>89.7023066</v>
      </c>
      <c r="CC45" s="1" t="s">
        <v>136</v>
      </c>
      <c r="CD45" s="1">
        <v>1</v>
      </c>
      <c r="CE45" s="1">
        <v>1.102058</v>
      </c>
      <c r="CF45" s="1" t="s">
        <v>103</v>
      </c>
      <c r="CN45" s="1">
        <v>6</v>
      </c>
      <c r="CO45" s="1">
        <v>1</v>
      </c>
      <c r="CP45" s="1" t="s">
        <v>152</v>
      </c>
      <c r="CQ45" s="1" t="s">
        <v>99</v>
      </c>
      <c r="CS45" s="1" t="s">
        <v>100</v>
      </c>
      <c r="CT45" s="1">
        <v>59.959047980000001</v>
      </c>
      <c r="CU45" s="1" t="s">
        <v>153</v>
      </c>
    </row>
    <row r="46" spans="2:99" x14ac:dyDescent="0.35">
      <c r="B46" s="1">
        <v>9</v>
      </c>
      <c r="C46" s="1">
        <v>9</v>
      </c>
      <c r="D46" s="1">
        <v>0</v>
      </c>
      <c r="G46" s="1" t="s">
        <v>106</v>
      </c>
      <c r="H46" s="1" t="s">
        <v>134</v>
      </c>
      <c r="I46" s="1" t="s">
        <v>134</v>
      </c>
      <c r="J46" s="1">
        <v>1</v>
      </c>
      <c r="K46" s="1">
        <v>1.1861956</v>
      </c>
      <c r="L46" s="1" t="s">
        <v>103</v>
      </c>
      <c r="Y46" s="1">
        <v>0</v>
      </c>
      <c r="Z46" s="1">
        <v>9</v>
      </c>
      <c r="AA46" s="1">
        <v>9</v>
      </c>
      <c r="AB46" s="1">
        <v>3</v>
      </c>
      <c r="AC46" s="1">
        <v>90.218605100000005</v>
      </c>
      <c r="AS46" s="1">
        <v>91.406138999999996</v>
      </c>
      <c r="AT46" s="1">
        <v>91.418518000000006</v>
      </c>
      <c r="AU46" s="1">
        <v>91.919455099999993</v>
      </c>
      <c r="AV46" s="1">
        <v>91.9021379</v>
      </c>
      <c r="BY46" s="1">
        <v>90.208480600000001</v>
      </c>
      <c r="BZ46" s="1">
        <v>90.218605100000005</v>
      </c>
      <c r="CA46" s="1">
        <v>90.218605100000005</v>
      </c>
      <c r="CB46" s="1">
        <v>91.406033800000003</v>
      </c>
      <c r="CC46" s="1" t="s">
        <v>134</v>
      </c>
      <c r="CD46" s="1">
        <v>1</v>
      </c>
      <c r="CE46" s="1">
        <v>1.1861956</v>
      </c>
      <c r="CF46" s="1" t="s">
        <v>103</v>
      </c>
      <c r="CN46" s="1">
        <v>6</v>
      </c>
      <c r="CO46" s="1">
        <v>1</v>
      </c>
      <c r="CP46" s="1" t="s">
        <v>152</v>
      </c>
      <c r="CQ46" s="1" t="s">
        <v>99</v>
      </c>
      <c r="CS46" s="1" t="s">
        <v>100</v>
      </c>
      <c r="CT46" s="1">
        <v>59.959047980000001</v>
      </c>
      <c r="CU46" s="1" t="s">
        <v>153</v>
      </c>
    </row>
    <row r="47" spans="2:99" x14ac:dyDescent="0.35">
      <c r="CG47" s="1">
        <v>91.902292799999998</v>
      </c>
      <c r="CH47" s="1">
        <v>91.919455099999993</v>
      </c>
      <c r="CI47" s="1">
        <v>91.919455099999993</v>
      </c>
      <c r="CJ47" s="1">
        <v>94.869608700000001</v>
      </c>
      <c r="CK47" s="1" t="s">
        <v>102</v>
      </c>
      <c r="CL47" s="1">
        <v>2.9407513999999999</v>
      </c>
      <c r="CM47" s="1" t="s">
        <v>103</v>
      </c>
      <c r="CN47" s="1">
        <v>6</v>
      </c>
      <c r="CO47" s="1">
        <v>1</v>
      </c>
      <c r="CP47" s="1" t="s">
        <v>152</v>
      </c>
      <c r="CQ47" s="1" t="s">
        <v>99</v>
      </c>
      <c r="CS47" s="1" t="s">
        <v>100</v>
      </c>
      <c r="CT47" s="1">
        <v>59.959047980000001</v>
      </c>
      <c r="CU47" s="1" t="s">
        <v>153</v>
      </c>
    </row>
    <row r="49" spans="10:11" x14ac:dyDescent="0.35">
      <c r="J49" s="2">
        <f>AVERAGE(J37:J46)</f>
        <v>0.5</v>
      </c>
      <c r="K49" s="2">
        <f>AVERAGE(K37:K46)</f>
        <v>1.8546803500000002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2912B7-A1D3-443A-91AC-FE2AF2A958B8}">
  <dimension ref="A1:CT49"/>
  <sheetViews>
    <sheetView topLeftCell="A34" workbookViewId="0">
      <selection activeCell="J46" sqref="J46"/>
    </sheetView>
  </sheetViews>
  <sheetFormatPr defaultRowHeight="14.5" x14ac:dyDescent="0.35"/>
  <cols>
    <col min="1" max="16384" width="8.7265625" style="1"/>
  </cols>
  <sheetData>
    <row r="1" spans="1:9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</row>
    <row r="2" spans="1:98" x14ac:dyDescent="0.35">
      <c r="AE2" s="1">
        <v>1.8828E-3</v>
      </c>
      <c r="AF2" s="1">
        <v>5.0815000000000001E-3</v>
      </c>
      <c r="AG2" s="1">
        <v>3.0106275</v>
      </c>
      <c r="AH2" s="1">
        <v>2.9943941000000001</v>
      </c>
      <c r="CM2" s="1">
        <v>7</v>
      </c>
      <c r="CN2" s="1">
        <v>1</v>
      </c>
      <c r="CO2" s="1" t="s">
        <v>154</v>
      </c>
      <c r="CP2" s="1" t="s">
        <v>99</v>
      </c>
      <c r="CR2" s="1" t="s">
        <v>100</v>
      </c>
      <c r="CS2" s="1">
        <v>60.072724030000003</v>
      </c>
      <c r="CT2" s="1" t="s">
        <v>155</v>
      </c>
    </row>
    <row r="3" spans="1:98" x14ac:dyDescent="0.35">
      <c r="AI3" s="1">
        <v>2.9944367000000001</v>
      </c>
      <c r="AJ3" s="1">
        <v>3.0106275</v>
      </c>
      <c r="AK3" s="1">
        <v>3.0106275</v>
      </c>
      <c r="AL3" s="1">
        <v>4.1822517000000001</v>
      </c>
      <c r="AM3" s="1" t="s">
        <v>102</v>
      </c>
      <c r="AN3" s="1">
        <v>1.1372005999999999</v>
      </c>
      <c r="AO3" s="1" t="s">
        <v>103</v>
      </c>
      <c r="CM3" s="1">
        <v>7</v>
      </c>
      <c r="CN3" s="1">
        <v>1</v>
      </c>
      <c r="CO3" s="1" t="s">
        <v>154</v>
      </c>
      <c r="CP3" s="1" t="s">
        <v>99</v>
      </c>
      <c r="CR3" s="1" t="s">
        <v>100</v>
      </c>
      <c r="CS3" s="1">
        <v>60.072724030000003</v>
      </c>
      <c r="CT3" s="1" t="s">
        <v>155</v>
      </c>
    </row>
    <row r="4" spans="1:98" x14ac:dyDescent="0.35">
      <c r="A4" s="1" t="s">
        <v>104</v>
      </c>
      <c r="B4" s="1">
        <v>0</v>
      </c>
      <c r="C4" s="1">
        <v>0</v>
      </c>
      <c r="D4" s="1">
        <v>0</v>
      </c>
      <c r="M4" s="1">
        <v>0</v>
      </c>
      <c r="N4" s="1">
        <v>0</v>
      </c>
      <c r="O4" s="1">
        <v>0</v>
      </c>
      <c r="P4" s="1">
        <v>2</v>
      </c>
      <c r="AC4" s="1">
        <v>4.2044075999999997</v>
      </c>
      <c r="AP4" s="1">
        <v>4.2008723000000003</v>
      </c>
      <c r="AQ4" s="1">
        <v>4.2044075999999997</v>
      </c>
      <c r="AR4" s="1">
        <v>5.1940868</v>
      </c>
      <c r="AS4" s="1">
        <v>5.1941345999999999</v>
      </c>
      <c r="AT4" s="1">
        <v>5.2105863000000001</v>
      </c>
      <c r="AU4" s="1">
        <v>5.6938078000000001</v>
      </c>
      <c r="CM4" s="1">
        <v>7</v>
      </c>
      <c r="CN4" s="1">
        <v>1</v>
      </c>
      <c r="CO4" s="1" t="s">
        <v>154</v>
      </c>
      <c r="CP4" s="1" t="s">
        <v>99</v>
      </c>
      <c r="CR4" s="1" t="s">
        <v>100</v>
      </c>
      <c r="CS4" s="1">
        <v>60.072724030000003</v>
      </c>
      <c r="CT4" s="1" t="s">
        <v>155</v>
      </c>
    </row>
    <row r="5" spans="1:98" x14ac:dyDescent="0.35">
      <c r="A5" s="1" t="s">
        <v>110</v>
      </c>
      <c r="B5" s="1">
        <v>1</v>
      </c>
      <c r="C5" s="1">
        <v>1</v>
      </c>
      <c r="D5" s="1">
        <v>0</v>
      </c>
      <c r="M5" s="1">
        <v>0</v>
      </c>
      <c r="N5" s="1">
        <v>1</v>
      </c>
      <c r="O5" s="1">
        <v>1</v>
      </c>
      <c r="P5" s="1">
        <v>7</v>
      </c>
      <c r="AC5" s="1">
        <v>5.7106960999999998</v>
      </c>
      <c r="AP5" s="1">
        <v>5.6963990999999998</v>
      </c>
      <c r="AQ5" s="1">
        <v>5.7106960999999998</v>
      </c>
      <c r="AR5" s="1">
        <v>6.6945613000000002</v>
      </c>
      <c r="AS5" s="1">
        <v>6.6946336999999998</v>
      </c>
      <c r="AT5" s="1">
        <v>6.7106684999999997</v>
      </c>
      <c r="AU5" s="1">
        <v>7.1940863000000004</v>
      </c>
      <c r="CM5" s="1">
        <v>7</v>
      </c>
      <c r="CN5" s="1">
        <v>1</v>
      </c>
      <c r="CO5" s="1" t="s">
        <v>154</v>
      </c>
      <c r="CP5" s="1" t="s">
        <v>99</v>
      </c>
      <c r="CR5" s="1" t="s">
        <v>100</v>
      </c>
      <c r="CS5" s="1">
        <v>60.072724030000003</v>
      </c>
      <c r="CT5" s="1" t="s">
        <v>155</v>
      </c>
    </row>
    <row r="6" spans="1:98" x14ac:dyDescent="0.35">
      <c r="A6" s="1" t="s">
        <v>112</v>
      </c>
      <c r="B6" s="1">
        <v>2</v>
      </c>
      <c r="C6" s="1">
        <v>2</v>
      </c>
      <c r="D6" s="1">
        <v>0</v>
      </c>
      <c r="M6" s="1">
        <v>0</v>
      </c>
      <c r="N6" s="1">
        <v>2</v>
      </c>
      <c r="O6" s="1">
        <v>2</v>
      </c>
      <c r="P6" s="1">
        <v>6</v>
      </c>
      <c r="AC6" s="1">
        <v>7.2106788999999996</v>
      </c>
      <c r="AP6" s="1">
        <v>7.1974251000000002</v>
      </c>
      <c r="AQ6" s="1">
        <v>7.2106788999999996</v>
      </c>
      <c r="AR6" s="1">
        <v>8.1947959000000008</v>
      </c>
      <c r="AS6" s="1">
        <v>8.1948644999999996</v>
      </c>
      <c r="AT6" s="1">
        <v>8.2107313000000008</v>
      </c>
      <c r="AU6" s="1">
        <v>8.6942646999999997</v>
      </c>
      <c r="CM6" s="1">
        <v>7</v>
      </c>
      <c r="CN6" s="1">
        <v>1</v>
      </c>
      <c r="CO6" s="1" t="s">
        <v>154</v>
      </c>
      <c r="CP6" s="1" t="s">
        <v>99</v>
      </c>
      <c r="CR6" s="1" t="s">
        <v>100</v>
      </c>
      <c r="CS6" s="1">
        <v>60.072724030000003</v>
      </c>
      <c r="CT6" s="1" t="s">
        <v>155</v>
      </c>
    </row>
    <row r="7" spans="1:98" x14ac:dyDescent="0.35">
      <c r="A7" s="1" t="s">
        <v>111</v>
      </c>
      <c r="B7" s="1">
        <v>3</v>
      </c>
      <c r="C7" s="1">
        <v>3</v>
      </c>
      <c r="D7" s="1">
        <v>0</v>
      </c>
      <c r="M7" s="1">
        <v>0</v>
      </c>
      <c r="N7" s="1">
        <v>3</v>
      </c>
      <c r="O7" s="1">
        <v>3</v>
      </c>
      <c r="P7" s="1">
        <v>3</v>
      </c>
      <c r="AC7" s="1">
        <v>8.7105803000000002</v>
      </c>
      <c r="AP7" s="1">
        <v>8.6965240000000001</v>
      </c>
      <c r="AQ7" s="1">
        <v>8.7105803000000002</v>
      </c>
      <c r="AR7" s="1">
        <v>9.6940974000000004</v>
      </c>
      <c r="AS7" s="1">
        <v>9.6941492999999994</v>
      </c>
      <c r="AT7" s="1">
        <v>9.7114425000000004</v>
      </c>
      <c r="AU7" s="1">
        <v>10.194166299999999</v>
      </c>
      <c r="CM7" s="1">
        <v>7</v>
      </c>
      <c r="CN7" s="1">
        <v>1</v>
      </c>
      <c r="CO7" s="1" t="s">
        <v>154</v>
      </c>
      <c r="CP7" s="1" t="s">
        <v>99</v>
      </c>
      <c r="CR7" s="1" t="s">
        <v>100</v>
      </c>
      <c r="CS7" s="1">
        <v>60.072724030000003</v>
      </c>
      <c r="CT7" s="1" t="s">
        <v>155</v>
      </c>
    </row>
    <row r="8" spans="1:98" x14ac:dyDescent="0.35">
      <c r="A8" s="1" t="s">
        <v>109</v>
      </c>
      <c r="B8" s="1">
        <v>4</v>
      </c>
      <c r="C8" s="1">
        <v>4</v>
      </c>
      <c r="D8" s="1">
        <v>0</v>
      </c>
      <c r="M8" s="1">
        <v>0</v>
      </c>
      <c r="N8" s="1">
        <v>4</v>
      </c>
      <c r="O8" s="1">
        <v>4</v>
      </c>
      <c r="P8" s="1">
        <v>8</v>
      </c>
      <c r="AC8" s="1">
        <v>10.210686900000001</v>
      </c>
      <c r="AP8" s="1">
        <v>10.1974734</v>
      </c>
      <c r="AQ8" s="1">
        <v>10.210686900000001</v>
      </c>
      <c r="AR8" s="1">
        <v>11.1941614</v>
      </c>
      <c r="AS8" s="1">
        <v>11.1942237</v>
      </c>
      <c r="AT8" s="1">
        <v>11.2106032</v>
      </c>
      <c r="AU8" s="1">
        <v>11.694739800000001</v>
      </c>
      <c r="CM8" s="1">
        <v>7</v>
      </c>
      <c r="CN8" s="1">
        <v>1</v>
      </c>
      <c r="CO8" s="1" t="s">
        <v>154</v>
      </c>
      <c r="CP8" s="1" t="s">
        <v>99</v>
      </c>
      <c r="CR8" s="1" t="s">
        <v>100</v>
      </c>
      <c r="CS8" s="1">
        <v>60.072724030000003</v>
      </c>
      <c r="CT8" s="1" t="s">
        <v>155</v>
      </c>
    </row>
    <row r="9" spans="1:98" x14ac:dyDescent="0.35">
      <c r="A9" s="1" t="s">
        <v>105</v>
      </c>
      <c r="B9" s="1">
        <v>5</v>
      </c>
      <c r="C9" s="1">
        <v>5</v>
      </c>
      <c r="D9" s="1">
        <v>0</v>
      </c>
      <c r="M9" s="1">
        <v>0</v>
      </c>
      <c r="N9" s="1">
        <v>5</v>
      </c>
      <c r="O9" s="1">
        <v>5</v>
      </c>
      <c r="P9" s="1">
        <v>1</v>
      </c>
      <c r="AC9" s="1">
        <v>11.7102582</v>
      </c>
      <c r="AP9" s="1">
        <v>11.704226</v>
      </c>
      <c r="AQ9" s="1">
        <v>11.7102582</v>
      </c>
      <c r="AR9" s="1">
        <v>12.693803900000001</v>
      </c>
      <c r="AS9" s="1">
        <v>12.693865300000001</v>
      </c>
      <c r="AT9" s="1">
        <v>12.7104473</v>
      </c>
      <c r="AU9" s="1">
        <v>13.195150999999999</v>
      </c>
      <c r="CM9" s="1">
        <v>7</v>
      </c>
      <c r="CN9" s="1">
        <v>1</v>
      </c>
      <c r="CO9" s="1" t="s">
        <v>154</v>
      </c>
      <c r="CP9" s="1" t="s">
        <v>99</v>
      </c>
      <c r="CR9" s="1" t="s">
        <v>100</v>
      </c>
      <c r="CS9" s="1">
        <v>60.072724030000003</v>
      </c>
      <c r="CT9" s="1" t="s">
        <v>155</v>
      </c>
    </row>
    <row r="10" spans="1:98" x14ac:dyDescent="0.35">
      <c r="A10" s="1" t="s">
        <v>106</v>
      </c>
      <c r="B10" s="1">
        <v>6</v>
      </c>
      <c r="C10" s="1">
        <v>6</v>
      </c>
      <c r="D10" s="1">
        <v>0</v>
      </c>
      <c r="M10" s="1">
        <v>0</v>
      </c>
      <c r="N10" s="1">
        <v>6</v>
      </c>
      <c r="O10" s="1">
        <v>6</v>
      </c>
      <c r="P10" s="1">
        <v>0</v>
      </c>
      <c r="AC10" s="1">
        <v>13.211210700000001</v>
      </c>
      <c r="AP10" s="1">
        <v>13.1987542</v>
      </c>
      <c r="AQ10" s="1">
        <v>13.211210700000001</v>
      </c>
      <c r="AR10" s="1">
        <v>14.1970413</v>
      </c>
      <c r="AS10" s="1">
        <v>14.1971455</v>
      </c>
      <c r="AT10" s="1">
        <v>14.2107014</v>
      </c>
      <c r="AU10" s="1">
        <v>14.694575499999999</v>
      </c>
      <c r="CM10" s="1">
        <v>7</v>
      </c>
      <c r="CN10" s="1">
        <v>1</v>
      </c>
      <c r="CO10" s="1" t="s">
        <v>154</v>
      </c>
      <c r="CP10" s="1" t="s">
        <v>99</v>
      </c>
      <c r="CR10" s="1" t="s">
        <v>100</v>
      </c>
      <c r="CS10" s="1">
        <v>60.072724030000003</v>
      </c>
      <c r="CT10" s="1" t="s">
        <v>155</v>
      </c>
    </row>
    <row r="11" spans="1:98" x14ac:dyDescent="0.35">
      <c r="A11" s="1" t="s">
        <v>107</v>
      </c>
      <c r="B11" s="1">
        <v>7</v>
      </c>
      <c r="C11" s="1">
        <v>7</v>
      </c>
      <c r="D11" s="1">
        <v>0</v>
      </c>
      <c r="M11" s="1">
        <v>0</v>
      </c>
      <c r="N11" s="1">
        <v>7</v>
      </c>
      <c r="O11" s="1">
        <v>7</v>
      </c>
      <c r="P11" s="1">
        <v>9</v>
      </c>
      <c r="AC11" s="1">
        <v>14.7106175</v>
      </c>
      <c r="AP11" s="1">
        <v>14.699338600000001</v>
      </c>
      <c r="AQ11" s="1">
        <v>14.7106175</v>
      </c>
      <c r="AR11" s="1">
        <v>15.693550999999999</v>
      </c>
      <c r="AS11" s="1">
        <v>15.6935886</v>
      </c>
      <c r="AT11" s="1">
        <v>15.710051099999999</v>
      </c>
      <c r="AU11" s="1">
        <v>16.194027699999999</v>
      </c>
      <c r="CM11" s="1">
        <v>7</v>
      </c>
      <c r="CN11" s="1">
        <v>1</v>
      </c>
      <c r="CO11" s="1" t="s">
        <v>154</v>
      </c>
      <c r="CP11" s="1" t="s">
        <v>99</v>
      </c>
      <c r="CR11" s="1" t="s">
        <v>100</v>
      </c>
      <c r="CS11" s="1">
        <v>60.072724030000003</v>
      </c>
      <c r="CT11" s="1" t="s">
        <v>155</v>
      </c>
    </row>
    <row r="12" spans="1:98" x14ac:dyDescent="0.35">
      <c r="A12" s="1" t="s">
        <v>113</v>
      </c>
      <c r="B12" s="1">
        <v>8</v>
      </c>
      <c r="C12" s="1">
        <v>8</v>
      </c>
      <c r="D12" s="1">
        <v>0</v>
      </c>
      <c r="M12" s="1">
        <v>0</v>
      </c>
      <c r="N12" s="1">
        <v>8</v>
      </c>
      <c r="O12" s="1">
        <v>8</v>
      </c>
      <c r="P12" s="1">
        <v>5</v>
      </c>
      <c r="AC12" s="1">
        <v>16.2102538</v>
      </c>
      <c r="AP12" s="1">
        <v>16.1960698</v>
      </c>
      <c r="AQ12" s="1">
        <v>16.2102538</v>
      </c>
      <c r="AR12" s="1">
        <v>17.1942995</v>
      </c>
      <c r="AS12" s="1">
        <v>17.1944689</v>
      </c>
      <c r="AT12" s="1">
        <v>17.210710599999999</v>
      </c>
      <c r="AU12" s="1">
        <v>17.694043799999999</v>
      </c>
      <c r="CM12" s="1">
        <v>7</v>
      </c>
      <c r="CN12" s="1">
        <v>1</v>
      </c>
      <c r="CO12" s="1" t="s">
        <v>154</v>
      </c>
      <c r="CP12" s="1" t="s">
        <v>99</v>
      </c>
      <c r="CR12" s="1" t="s">
        <v>100</v>
      </c>
      <c r="CS12" s="1">
        <v>60.072724030000003</v>
      </c>
      <c r="CT12" s="1" t="s">
        <v>155</v>
      </c>
    </row>
    <row r="13" spans="1:98" x14ac:dyDescent="0.35">
      <c r="A13" s="1" t="s">
        <v>108</v>
      </c>
      <c r="B13" s="1">
        <v>9</v>
      </c>
      <c r="C13" s="1">
        <v>9</v>
      </c>
      <c r="D13" s="1">
        <v>0</v>
      </c>
      <c r="M13" s="1">
        <v>0</v>
      </c>
      <c r="N13" s="1">
        <v>9</v>
      </c>
      <c r="O13" s="1">
        <v>9</v>
      </c>
      <c r="P13" s="1">
        <v>4</v>
      </c>
      <c r="AC13" s="1">
        <v>17.7104286</v>
      </c>
      <c r="AP13" s="1">
        <v>17.697928300000001</v>
      </c>
      <c r="AQ13" s="1">
        <v>17.7104286</v>
      </c>
      <c r="AR13" s="1">
        <v>18.695263499999999</v>
      </c>
      <c r="AS13" s="1">
        <v>18.695342700000001</v>
      </c>
      <c r="AT13" s="1">
        <v>18.711907499999999</v>
      </c>
      <c r="AU13" s="1">
        <v>19.193947099999999</v>
      </c>
      <c r="CM13" s="1">
        <v>7</v>
      </c>
      <c r="CN13" s="1">
        <v>1</v>
      </c>
      <c r="CO13" s="1" t="s">
        <v>154</v>
      </c>
      <c r="CP13" s="1" t="s">
        <v>99</v>
      </c>
      <c r="CR13" s="1" t="s">
        <v>100</v>
      </c>
      <c r="CS13" s="1">
        <v>60.072724030000003</v>
      </c>
      <c r="CT13" s="1" t="s">
        <v>155</v>
      </c>
    </row>
    <row r="14" spans="1:98" x14ac:dyDescent="0.35">
      <c r="B14" s="1">
        <v>0</v>
      </c>
      <c r="C14" s="1">
        <v>0</v>
      </c>
      <c r="D14" s="1">
        <v>0</v>
      </c>
      <c r="E14" s="1" t="s">
        <v>122</v>
      </c>
      <c r="Q14" s="1">
        <v>0</v>
      </c>
      <c r="R14" s="1">
        <v>0</v>
      </c>
      <c r="S14" s="1">
        <v>0</v>
      </c>
      <c r="T14" s="1">
        <v>8</v>
      </c>
      <c r="AC14" s="1">
        <v>19.229232700000001</v>
      </c>
      <c r="AS14" s="1">
        <v>20.194090299999999</v>
      </c>
      <c r="AT14" s="1">
        <v>20.210064599999999</v>
      </c>
      <c r="AU14" s="1">
        <v>20.694642300000002</v>
      </c>
      <c r="AV14" s="1">
        <v>19.226256599999999</v>
      </c>
      <c r="AW14" s="1">
        <v>19.229232700000001</v>
      </c>
      <c r="AX14" s="1">
        <v>20.1940381</v>
      </c>
      <c r="CM14" s="1">
        <v>7</v>
      </c>
      <c r="CN14" s="1">
        <v>1</v>
      </c>
      <c r="CO14" s="1" t="s">
        <v>154</v>
      </c>
      <c r="CP14" s="1" t="s">
        <v>99</v>
      </c>
      <c r="CR14" s="1" t="s">
        <v>100</v>
      </c>
      <c r="CS14" s="1">
        <v>60.072724030000003</v>
      </c>
      <c r="CT14" s="1" t="s">
        <v>155</v>
      </c>
    </row>
    <row r="15" spans="1:98" x14ac:dyDescent="0.35">
      <c r="B15" s="1">
        <v>1</v>
      </c>
      <c r="C15" s="1">
        <v>1</v>
      </c>
      <c r="D15" s="1">
        <v>0</v>
      </c>
      <c r="E15" s="1" t="s">
        <v>118</v>
      </c>
      <c r="Q15" s="1">
        <v>0</v>
      </c>
      <c r="R15" s="1">
        <v>1</v>
      </c>
      <c r="S15" s="1">
        <v>1</v>
      </c>
      <c r="T15" s="1">
        <v>6</v>
      </c>
      <c r="AC15" s="1">
        <v>20.710368500000001</v>
      </c>
      <c r="AS15" s="1">
        <v>21.693718000000001</v>
      </c>
      <c r="AT15" s="1">
        <v>21.710336699999999</v>
      </c>
      <c r="AU15" s="1">
        <v>22.193741500000002</v>
      </c>
      <c r="AV15" s="1">
        <v>20.700926299999999</v>
      </c>
      <c r="AW15" s="1">
        <v>20.710368500000001</v>
      </c>
      <c r="AX15" s="1">
        <v>21.693675800000001</v>
      </c>
      <c r="CM15" s="1">
        <v>7</v>
      </c>
      <c r="CN15" s="1">
        <v>1</v>
      </c>
      <c r="CO15" s="1" t="s">
        <v>154</v>
      </c>
      <c r="CP15" s="1" t="s">
        <v>99</v>
      </c>
      <c r="CR15" s="1" t="s">
        <v>100</v>
      </c>
      <c r="CS15" s="1">
        <v>60.072724030000003</v>
      </c>
      <c r="CT15" s="1" t="s">
        <v>155</v>
      </c>
    </row>
    <row r="16" spans="1:98" x14ac:dyDescent="0.35">
      <c r="B16" s="1">
        <v>2</v>
      </c>
      <c r="C16" s="1">
        <v>2</v>
      </c>
      <c r="D16" s="1">
        <v>0</v>
      </c>
      <c r="E16" s="1" t="s">
        <v>123</v>
      </c>
      <c r="Q16" s="1">
        <v>0</v>
      </c>
      <c r="R16" s="1">
        <v>2</v>
      </c>
      <c r="S16" s="1">
        <v>2</v>
      </c>
      <c r="T16" s="1">
        <v>2</v>
      </c>
      <c r="AC16" s="1">
        <v>22.210167800000001</v>
      </c>
      <c r="AS16" s="1">
        <v>23.194132700000001</v>
      </c>
      <c r="AT16" s="1">
        <v>23.2106326</v>
      </c>
      <c r="AU16" s="1">
        <v>23.6940594</v>
      </c>
      <c r="AV16" s="1">
        <v>22.196717799999998</v>
      </c>
      <c r="AW16" s="1">
        <v>22.210167800000001</v>
      </c>
      <c r="AX16" s="1">
        <v>23.194068000000001</v>
      </c>
      <c r="CM16" s="1">
        <v>7</v>
      </c>
      <c r="CN16" s="1">
        <v>1</v>
      </c>
      <c r="CO16" s="1" t="s">
        <v>154</v>
      </c>
      <c r="CP16" s="1" t="s">
        <v>99</v>
      </c>
      <c r="CR16" s="1" t="s">
        <v>100</v>
      </c>
      <c r="CS16" s="1">
        <v>60.072724030000003</v>
      </c>
      <c r="CT16" s="1" t="s">
        <v>155</v>
      </c>
    </row>
    <row r="17" spans="2:98" x14ac:dyDescent="0.35">
      <c r="B17" s="1">
        <v>3</v>
      </c>
      <c r="C17" s="1">
        <v>3</v>
      </c>
      <c r="D17" s="1">
        <v>0</v>
      </c>
      <c r="E17" s="1" t="s">
        <v>114</v>
      </c>
      <c r="Q17" s="1">
        <v>0</v>
      </c>
      <c r="R17" s="1">
        <v>3</v>
      </c>
      <c r="S17" s="1">
        <v>3</v>
      </c>
      <c r="T17" s="1">
        <v>5</v>
      </c>
      <c r="AC17" s="1">
        <v>23.7105961</v>
      </c>
      <c r="AS17" s="1">
        <v>24.6947285</v>
      </c>
      <c r="AT17" s="1">
        <v>24.710810800000001</v>
      </c>
      <c r="AU17" s="1">
        <v>25.194017599999999</v>
      </c>
      <c r="AV17" s="1">
        <v>23.6996465</v>
      </c>
      <c r="AW17" s="1">
        <v>23.7105961</v>
      </c>
      <c r="AX17" s="1">
        <v>24.6946507</v>
      </c>
      <c r="CM17" s="1">
        <v>7</v>
      </c>
      <c r="CN17" s="1">
        <v>1</v>
      </c>
      <c r="CO17" s="1" t="s">
        <v>154</v>
      </c>
      <c r="CP17" s="1" t="s">
        <v>99</v>
      </c>
      <c r="CR17" s="1" t="s">
        <v>100</v>
      </c>
      <c r="CS17" s="1">
        <v>60.072724030000003</v>
      </c>
      <c r="CT17" s="1" t="s">
        <v>155</v>
      </c>
    </row>
    <row r="18" spans="2:98" x14ac:dyDescent="0.35">
      <c r="B18" s="1">
        <v>4</v>
      </c>
      <c r="C18" s="1">
        <v>4</v>
      </c>
      <c r="D18" s="1">
        <v>0</v>
      </c>
      <c r="E18" s="1" t="s">
        <v>121</v>
      </c>
      <c r="Q18" s="1">
        <v>0</v>
      </c>
      <c r="R18" s="1">
        <v>4</v>
      </c>
      <c r="S18" s="1">
        <v>4</v>
      </c>
      <c r="T18" s="1">
        <v>3</v>
      </c>
      <c r="AC18" s="1">
        <v>25.210398900000001</v>
      </c>
      <c r="AS18" s="1">
        <v>26.194241600000002</v>
      </c>
      <c r="AT18" s="1">
        <v>26.210463799999999</v>
      </c>
      <c r="AU18" s="1">
        <v>26.693772899999999</v>
      </c>
      <c r="AV18" s="1">
        <v>25.1976446</v>
      </c>
      <c r="AW18" s="1">
        <v>25.210398900000001</v>
      </c>
      <c r="AX18" s="1">
        <v>26.194178000000001</v>
      </c>
      <c r="CM18" s="1">
        <v>7</v>
      </c>
      <c r="CN18" s="1">
        <v>1</v>
      </c>
      <c r="CO18" s="1" t="s">
        <v>154</v>
      </c>
      <c r="CP18" s="1" t="s">
        <v>99</v>
      </c>
      <c r="CR18" s="1" t="s">
        <v>100</v>
      </c>
      <c r="CS18" s="1">
        <v>60.072724030000003</v>
      </c>
      <c r="CT18" s="1" t="s">
        <v>155</v>
      </c>
    </row>
    <row r="19" spans="2:98" x14ac:dyDescent="0.35">
      <c r="B19" s="1">
        <v>5</v>
      </c>
      <c r="C19" s="1">
        <v>5</v>
      </c>
      <c r="D19" s="1">
        <v>0</v>
      </c>
      <c r="E19" s="1" t="s">
        <v>120</v>
      </c>
      <c r="Q19" s="1">
        <v>0</v>
      </c>
      <c r="R19" s="1">
        <v>5</v>
      </c>
      <c r="S19" s="1">
        <v>5</v>
      </c>
      <c r="T19" s="1">
        <v>4</v>
      </c>
      <c r="AC19" s="1">
        <v>26.710364599999998</v>
      </c>
      <c r="AS19" s="1">
        <v>27.694828999999999</v>
      </c>
      <c r="AT19" s="1">
        <v>27.710376700000001</v>
      </c>
      <c r="AU19" s="1">
        <v>28.193910800000001</v>
      </c>
      <c r="AV19" s="1">
        <v>26.697191400000001</v>
      </c>
      <c r="AW19" s="1">
        <v>26.710364599999998</v>
      </c>
      <c r="AX19" s="1">
        <v>27.694731399999998</v>
      </c>
      <c r="CM19" s="1">
        <v>7</v>
      </c>
      <c r="CN19" s="1">
        <v>1</v>
      </c>
      <c r="CO19" s="1" t="s">
        <v>154</v>
      </c>
      <c r="CP19" s="1" t="s">
        <v>99</v>
      </c>
      <c r="CR19" s="1" t="s">
        <v>100</v>
      </c>
      <c r="CS19" s="1">
        <v>60.072724030000003</v>
      </c>
      <c r="CT19" s="1" t="s">
        <v>155</v>
      </c>
    </row>
    <row r="20" spans="2:98" x14ac:dyDescent="0.35">
      <c r="B20" s="1">
        <v>6</v>
      </c>
      <c r="C20" s="1">
        <v>6</v>
      </c>
      <c r="D20" s="1">
        <v>0</v>
      </c>
      <c r="E20" s="1" t="s">
        <v>119</v>
      </c>
      <c r="Q20" s="1">
        <v>0</v>
      </c>
      <c r="R20" s="1">
        <v>6</v>
      </c>
      <c r="S20" s="1">
        <v>6</v>
      </c>
      <c r="T20" s="1">
        <v>9</v>
      </c>
      <c r="AC20" s="1">
        <v>28.210275899999999</v>
      </c>
      <c r="AS20" s="1">
        <v>29.193689899999999</v>
      </c>
      <c r="AT20" s="1">
        <v>29.210744099999999</v>
      </c>
      <c r="AU20" s="1">
        <v>29.694051999999999</v>
      </c>
      <c r="AV20" s="1">
        <v>28.196879599999999</v>
      </c>
      <c r="AW20" s="1">
        <v>28.210275899999999</v>
      </c>
      <c r="AX20" s="1">
        <v>29.193635100000002</v>
      </c>
      <c r="CM20" s="1">
        <v>7</v>
      </c>
      <c r="CN20" s="1">
        <v>1</v>
      </c>
      <c r="CO20" s="1" t="s">
        <v>154</v>
      </c>
      <c r="CP20" s="1" t="s">
        <v>99</v>
      </c>
      <c r="CR20" s="1" t="s">
        <v>100</v>
      </c>
      <c r="CS20" s="1">
        <v>60.072724030000003</v>
      </c>
      <c r="CT20" s="1" t="s">
        <v>155</v>
      </c>
    </row>
    <row r="21" spans="2:98" x14ac:dyDescent="0.35">
      <c r="B21" s="1">
        <v>7</v>
      </c>
      <c r="C21" s="1">
        <v>7</v>
      </c>
      <c r="D21" s="1">
        <v>0</v>
      </c>
      <c r="E21" s="1" t="s">
        <v>116</v>
      </c>
      <c r="Q21" s="1">
        <v>0</v>
      </c>
      <c r="R21" s="1">
        <v>7</v>
      </c>
      <c r="S21" s="1">
        <v>7</v>
      </c>
      <c r="T21" s="1">
        <v>0</v>
      </c>
      <c r="AC21" s="1">
        <v>29.715616900000001</v>
      </c>
      <c r="AS21" s="1">
        <v>30.693958899999998</v>
      </c>
      <c r="AT21" s="1">
        <v>30.710488699999999</v>
      </c>
      <c r="AU21" s="1">
        <v>31.194212</v>
      </c>
      <c r="AV21" s="1">
        <v>29.7122438</v>
      </c>
      <c r="AW21" s="1">
        <v>29.715616900000001</v>
      </c>
      <c r="AX21" s="1">
        <v>30.693888000000001</v>
      </c>
      <c r="CM21" s="1">
        <v>7</v>
      </c>
      <c r="CN21" s="1">
        <v>1</v>
      </c>
      <c r="CO21" s="1" t="s">
        <v>154</v>
      </c>
      <c r="CP21" s="1" t="s">
        <v>99</v>
      </c>
      <c r="CR21" s="1" t="s">
        <v>100</v>
      </c>
      <c r="CS21" s="1">
        <v>60.072724030000003</v>
      </c>
      <c r="CT21" s="1" t="s">
        <v>155</v>
      </c>
    </row>
    <row r="22" spans="2:98" x14ac:dyDescent="0.35">
      <c r="B22" s="1">
        <v>8</v>
      </c>
      <c r="C22" s="1">
        <v>8</v>
      </c>
      <c r="D22" s="1">
        <v>0</v>
      </c>
      <c r="E22" s="1" t="s">
        <v>115</v>
      </c>
      <c r="Q22" s="1">
        <v>0</v>
      </c>
      <c r="R22" s="1">
        <v>8</v>
      </c>
      <c r="S22" s="1">
        <v>8</v>
      </c>
      <c r="T22" s="1">
        <v>7</v>
      </c>
      <c r="AC22" s="1">
        <v>31.210314100000002</v>
      </c>
      <c r="AS22" s="1">
        <v>32.193721500000002</v>
      </c>
      <c r="AT22" s="1">
        <v>32.210011199999997</v>
      </c>
      <c r="AU22" s="1">
        <v>32.694201700000001</v>
      </c>
      <c r="AV22" s="1">
        <v>31.1993765</v>
      </c>
      <c r="AW22" s="1">
        <v>31.210314100000002</v>
      </c>
      <c r="AX22" s="1">
        <v>32.1936745</v>
      </c>
      <c r="CM22" s="1">
        <v>7</v>
      </c>
      <c r="CN22" s="1">
        <v>1</v>
      </c>
      <c r="CO22" s="1" t="s">
        <v>154</v>
      </c>
      <c r="CP22" s="1" t="s">
        <v>99</v>
      </c>
      <c r="CR22" s="1" t="s">
        <v>100</v>
      </c>
      <c r="CS22" s="1">
        <v>60.072724030000003</v>
      </c>
      <c r="CT22" s="1" t="s">
        <v>155</v>
      </c>
    </row>
    <row r="23" spans="2:98" x14ac:dyDescent="0.35">
      <c r="B23" s="1">
        <v>9</v>
      </c>
      <c r="C23" s="1">
        <v>9</v>
      </c>
      <c r="D23" s="1">
        <v>0</v>
      </c>
      <c r="E23" s="1" t="s">
        <v>117</v>
      </c>
      <c r="Q23" s="1">
        <v>0</v>
      </c>
      <c r="R23" s="1">
        <v>9</v>
      </c>
      <c r="S23" s="1">
        <v>9</v>
      </c>
      <c r="T23" s="1">
        <v>1</v>
      </c>
      <c r="AC23" s="1">
        <v>32.710361499999998</v>
      </c>
      <c r="AS23" s="1">
        <v>33.6935067</v>
      </c>
      <c r="AT23" s="1">
        <v>33.709844199999999</v>
      </c>
      <c r="AU23" s="1">
        <v>34.193749799999999</v>
      </c>
      <c r="AV23" s="1">
        <v>32.697656700000003</v>
      </c>
      <c r="AW23" s="1">
        <v>32.710361499999998</v>
      </c>
      <c r="AX23" s="1">
        <v>33.693466399999998</v>
      </c>
      <c r="CM23" s="1">
        <v>7</v>
      </c>
      <c r="CN23" s="1">
        <v>1</v>
      </c>
      <c r="CO23" s="1" t="s">
        <v>154</v>
      </c>
      <c r="CP23" s="1" t="s">
        <v>99</v>
      </c>
      <c r="CR23" s="1" t="s">
        <v>100</v>
      </c>
      <c r="CS23" s="1">
        <v>60.072724030000003</v>
      </c>
      <c r="CT23" s="1" t="s">
        <v>155</v>
      </c>
    </row>
    <row r="24" spans="2:98" x14ac:dyDescent="0.35">
      <c r="B24" s="1">
        <v>0</v>
      </c>
      <c r="C24" s="1">
        <v>0</v>
      </c>
      <c r="D24" s="1">
        <v>0</v>
      </c>
      <c r="F24" s="1" t="s">
        <v>128</v>
      </c>
      <c r="U24" s="1">
        <v>0</v>
      </c>
      <c r="V24" s="1">
        <v>0</v>
      </c>
      <c r="W24" s="1">
        <v>0</v>
      </c>
      <c r="X24" s="1">
        <v>6</v>
      </c>
      <c r="AC24" s="1">
        <v>34.298388600000003</v>
      </c>
      <c r="AS24" s="1">
        <v>35.1937876</v>
      </c>
      <c r="AT24" s="1">
        <v>35.210189200000002</v>
      </c>
      <c r="AU24" s="1">
        <v>35.693665600000003</v>
      </c>
      <c r="AY24" s="1">
        <v>34.2956492</v>
      </c>
      <c r="AZ24" s="1">
        <v>34.298388600000003</v>
      </c>
      <c r="BA24" s="1">
        <v>35.193727199999998</v>
      </c>
      <c r="CM24" s="1">
        <v>7</v>
      </c>
      <c r="CN24" s="1">
        <v>1</v>
      </c>
      <c r="CO24" s="1" t="s">
        <v>154</v>
      </c>
      <c r="CP24" s="1" t="s">
        <v>99</v>
      </c>
      <c r="CR24" s="1" t="s">
        <v>100</v>
      </c>
      <c r="CS24" s="1">
        <v>60.072724030000003</v>
      </c>
      <c r="CT24" s="1" t="s">
        <v>155</v>
      </c>
    </row>
    <row r="25" spans="2:98" x14ac:dyDescent="0.35">
      <c r="B25" s="1">
        <v>1</v>
      </c>
      <c r="C25" s="1">
        <v>1</v>
      </c>
      <c r="D25" s="1">
        <v>0</v>
      </c>
      <c r="F25" s="1" t="s">
        <v>124</v>
      </c>
      <c r="U25" s="1">
        <v>0</v>
      </c>
      <c r="V25" s="1">
        <v>1</v>
      </c>
      <c r="W25" s="1">
        <v>1</v>
      </c>
      <c r="X25" s="1">
        <v>7</v>
      </c>
      <c r="AC25" s="1">
        <v>35.710465200000002</v>
      </c>
      <c r="AS25" s="1">
        <v>36.693438899999997</v>
      </c>
      <c r="AT25" s="1">
        <v>36.709965799999999</v>
      </c>
      <c r="AU25" s="1">
        <v>37.193487099999999</v>
      </c>
      <c r="AY25" s="1">
        <v>35.698166899999997</v>
      </c>
      <c r="AZ25" s="1">
        <v>35.710465200000002</v>
      </c>
      <c r="BA25" s="1">
        <v>36.693372199999999</v>
      </c>
      <c r="CM25" s="1">
        <v>7</v>
      </c>
      <c r="CN25" s="1">
        <v>1</v>
      </c>
      <c r="CO25" s="1" t="s">
        <v>154</v>
      </c>
      <c r="CP25" s="1" t="s">
        <v>99</v>
      </c>
      <c r="CR25" s="1" t="s">
        <v>100</v>
      </c>
      <c r="CS25" s="1">
        <v>60.072724030000003</v>
      </c>
      <c r="CT25" s="1" t="s">
        <v>155</v>
      </c>
    </row>
    <row r="26" spans="2:98" x14ac:dyDescent="0.35">
      <c r="B26" s="1">
        <v>2</v>
      </c>
      <c r="C26" s="1">
        <v>2</v>
      </c>
      <c r="D26" s="1">
        <v>0</v>
      </c>
      <c r="F26" s="1" t="s">
        <v>125</v>
      </c>
      <c r="U26" s="1">
        <v>0</v>
      </c>
      <c r="V26" s="1">
        <v>2</v>
      </c>
      <c r="W26" s="1">
        <v>2</v>
      </c>
      <c r="X26" s="1">
        <v>8</v>
      </c>
      <c r="AC26" s="1">
        <v>37.210286000000004</v>
      </c>
      <c r="AS26" s="1">
        <v>38.193755000000003</v>
      </c>
      <c r="AT26" s="1">
        <v>38.210511400000001</v>
      </c>
      <c r="AU26" s="1">
        <v>38.693842099999998</v>
      </c>
      <c r="AY26" s="1">
        <v>37.196628599999997</v>
      </c>
      <c r="AZ26" s="1">
        <v>37.210286000000004</v>
      </c>
      <c r="BA26" s="1">
        <v>38.1936787</v>
      </c>
      <c r="CM26" s="1">
        <v>7</v>
      </c>
      <c r="CN26" s="1">
        <v>1</v>
      </c>
      <c r="CO26" s="1" t="s">
        <v>154</v>
      </c>
      <c r="CP26" s="1" t="s">
        <v>99</v>
      </c>
      <c r="CR26" s="1" t="s">
        <v>100</v>
      </c>
      <c r="CS26" s="1">
        <v>60.072724030000003</v>
      </c>
      <c r="CT26" s="1" t="s">
        <v>155</v>
      </c>
    </row>
    <row r="27" spans="2:98" x14ac:dyDescent="0.35">
      <c r="B27" s="1">
        <v>3</v>
      </c>
      <c r="C27" s="1">
        <v>3</v>
      </c>
      <c r="D27" s="1">
        <v>0</v>
      </c>
      <c r="F27" s="1" t="s">
        <v>130</v>
      </c>
      <c r="U27" s="1">
        <v>0</v>
      </c>
      <c r="V27" s="1">
        <v>3</v>
      </c>
      <c r="W27" s="1">
        <v>3</v>
      </c>
      <c r="X27" s="1">
        <v>3</v>
      </c>
      <c r="AC27" s="1">
        <v>38.709946299999999</v>
      </c>
      <c r="AS27" s="1">
        <v>39.693715300000001</v>
      </c>
      <c r="AT27" s="1">
        <v>39.710178800000001</v>
      </c>
      <c r="AU27" s="1">
        <v>40.193939499999999</v>
      </c>
      <c r="AY27" s="1">
        <v>38.698135700000002</v>
      </c>
      <c r="AZ27" s="1">
        <v>38.709946299999999</v>
      </c>
      <c r="BA27" s="1">
        <v>39.693669499999999</v>
      </c>
      <c r="CM27" s="1">
        <v>7</v>
      </c>
      <c r="CN27" s="1">
        <v>1</v>
      </c>
      <c r="CO27" s="1" t="s">
        <v>154</v>
      </c>
      <c r="CP27" s="1" t="s">
        <v>99</v>
      </c>
      <c r="CR27" s="1" t="s">
        <v>100</v>
      </c>
      <c r="CS27" s="1">
        <v>60.072724030000003</v>
      </c>
      <c r="CT27" s="1" t="s">
        <v>155</v>
      </c>
    </row>
    <row r="28" spans="2:98" x14ac:dyDescent="0.35">
      <c r="B28" s="1">
        <v>4</v>
      </c>
      <c r="C28" s="1">
        <v>4</v>
      </c>
      <c r="D28" s="1">
        <v>0</v>
      </c>
      <c r="F28" s="1" t="s">
        <v>132</v>
      </c>
      <c r="U28" s="1">
        <v>0</v>
      </c>
      <c r="V28" s="1">
        <v>4</v>
      </c>
      <c r="W28" s="1">
        <v>4</v>
      </c>
      <c r="X28" s="1">
        <v>9</v>
      </c>
      <c r="AC28" s="1">
        <v>40.210341700000001</v>
      </c>
      <c r="AS28" s="1">
        <v>41.193691299999998</v>
      </c>
      <c r="AT28" s="1">
        <v>41.2101167</v>
      </c>
      <c r="AU28" s="1">
        <v>41.693410700000001</v>
      </c>
      <c r="AY28" s="1">
        <v>40.198808499999998</v>
      </c>
      <c r="AZ28" s="1">
        <v>40.210341700000001</v>
      </c>
      <c r="BA28" s="1">
        <v>41.193633800000001</v>
      </c>
      <c r="CM28" s="1">
        <v>7</v>
      </c>
      <c r="CN28" s="1">
        <v>1</v>
      </c>
      <c r="CO28" s="1" t="s">
        <v>154</v>
      </c>
      <c r="CP28" s="1" t="s">
        <v>99</v>
      </c>
      <c r="CR28" s="1" t="s">
        <v>100</v>
      </c>
      <c r="CS28" s="1">
        <v>60.072724030000003</v>
      </c>
      <c r="CT28" s="1" t="s">
        <v>155</v>
      </c>
    </row>
    <row r="29" spans="2:98" x14ac:dyDescent="0.35">
      <c r="B29" s="1">
        <v>5</v>
      </c>
      <c r="C29" s="1">
        <v>5</v>
      </c>
      <c r="D29" s="1">
        <v>0</v>
      </c>
      <c r="F29" s="1" t="s">
        <v>126</v>
      </c>
      <c r="U29" s="1">
        <v>0</v>
      </c>
      <c r="V29" s="1">
        <v>5</v>
      </c>
      <c r="W29" s="1">
        <v>5</v>
      </c>
      <c r="X29" s="1">
        <v>4</v>
      </c>
      <c r="AC29" s="1">
        <v>41.7099841</v>
      </c>
      <c r="AS29" s="1">
        <v>42.693642500000003</v>
      </c>
      <c r="AT29" s="1">
        <v>42.711614099999998</v>
      </c>
      <c r="AU29" s="1">
        <v>43.193589799999998</v>
      </c>
      <c r="AY29" s="1">
        <v>41.696165800000003</v>
      </c>
      <c r="AZ29" s="1">
        <v>41.7099841</v>
      </c>
      <c r="BA29" s="1">
        <v>42.693584199999997</v>
      </c>
      <c r="CM29" s="1">
        <v>7</v>
      </c>
      <c r="CN29" s="1">
        <v>1</v>
      </c>
      <c r="CO29" s="1" t="s">
        <v>154</v>
      </c>
      <c r="CP29" s="1" t="s">
        <v>99</v>
      </c>
      <c r="CR29" s="1" t="s">
        <v>100</v>
      </c>
      <c r="CS29" s="1">
        <v>60.072724030000003</v>
      </c>
      <c r="CT29" s="1" t="s">
        <v>155</v>
      </c>
    </row>
    <row r="30" spans="2:98" x14ac:dyDescent="0.35">
      <c r="B30" s="1">
        <v>6</v>
      </c>
      <c r="C30" s="1">
        <v>6</v>
      </c>
      <c r="D30" s="1">
        <v>0</v>
      </c>
      <c r="F30" s="1" t="s">
        <v>131</v>
      </c>
      <c r="U30" s="1">
        <v>0</v>
      </c>
      <c r="V30" s="1">
        <v>6</v>
      </c>
      <c r="W30" s="1">
        <v>6</v>
      </c>
      <c r="X30" s="1">
        <v>2</v>
      </c>
      <c r="AC30" s="1">
        <v>43.210070600000002</v>
      </c>
      <c r="AS30" s="1">
        <v>44.193823299999998</v>
      </c>
      <c r="AT30" s="1">
        <v>44.209818200000001</v>
      </c>
      <c r="AU30" s="1">
        <v>44.693530500000001</v>
      </c>
      <c r="AY30" s="1">
        <v>43.198334600000003</v>
      </c>
      <c r="AZ30" s="1">
        <v>43.210070600000002</v>
      </c>
      <c r="BA30" s="1">
        <v>44.193785300000002</v>
      </c>
      <c r="CM30" s="1">
        <v>7</v>
      </c>
      <c r="CN30" s="1">
        <v>1</v>
      </c>
      <c r="CO30" s="1" t="s">
        <v>154</v>
      </c>
      <c r="CP30" s="1" t="s">
        <v>99</v>
      </c>
      <c r="CR30" s="1" t="s">
        <v>100</v>
      </c>
      <c r="CS30" s="1">
        <v>60.072724030000003</v>
      </c>
      <c r="CT30" s="1" t="s">
        <v>155</v>
      </c>
    </row>
    <row r="31" spans="2:98" x14ac:dyDescent="0.35">
      <c r="B31" s="1">
        <v>7</v>
      </c>
      <c r="C31" s="1">
        <v>7</v>
      </c>
      <c r="D31" s="1">
        <v>0</v>
      </c>
      <c r="F31" s="1" t="s">
        <v>133</v>
      </c>
      <c r="U31" s="1">
        <v>0</v>
      </c>
      <c r="V31" s="1">
        <v>7</v>
      </c>
      <c r="W31" s="1">
        <v>7</v>
      </c>
      <c r="X31" s="1">
        <v>1</v>
      </c>
      <c r="AC31" s="1">
        <v>44.710328599999997</v>
      </c>
      <c r="AS31" s="1">
        <v>45.6940253</v>
      </c>
      <c r="AT31" s="1">
        <v>45.710138600000001</v>
      </c>
      <c r="AU31" s="1">
        <v>46.193733000000002</v>
      </c>
      <c r="AY31" s="1">
        <v>44.695806699999999</v>
      </c>
      <c r="AZ31" s="1">
        <v>44.710328599999997</v>
      </c>
      <c r="BA31" s="1">
        <v>45.693983600000003</v>
      </c>
      <c r="CM31" s="1">
        <v>7</v>
      </c>
      <c r="CN31" s="1">
        <v>1</v>
      </c>
      <c r="CO31" s="1" t="s">
        <v>154</v>
      </c>
      <c r="CP31" s="1" t="s">
        <v>99</v>
      </c>
      <c r="CR31" s="1" t="s">
        <v>100</v>
      </c>
      <c r="CS31" s="1">
        <v>60.072724030000003</v>
      </c>
      <c r="CT31" s="1" t="s">
        <v>155</v>
      </c>
    </row>
    <row r="32" spans="2:98" x14ac:dyDescent="0.35">
      <c r="B32" s="1">
        <v>8</v>
      </c>
      <c r="C32" s="1">
        <v>8</v>
      </c>
      <c r="D32" s="1">
        <v>0</v>
      </c>
      <c r="F32" s="1" t="s">
        <v>129</v>
      </c>
      <c r="U32" s="1">
        <v>0</v>
      </c>
      <c r="V32" s="1">
        <v>8</v>
      </c>
      <c r="W32" s="1">
        <v>8</v>
      </c>
      <c r="X32" s="1">
        <v>0</v>
      </c>
      <c r="AC32" s="1">
        <v>46.210138499999999</v>
      </c>
      <c r="AS32" s="1">
        <v>47.194279899999998</v>
      </c>
      <c r="AT32" s="1">
        <v>47.210092299999999</v>
      </c>
      <c r="AU32" s="1">
        <v>47.694262000000002</v>
      </c>
      <c r="AY32" s="1">
        <v>46.198438500000002</v>
      </c>
      <c r="AZ32" s="1">
        <v>46.210138499999999</v>
      </c>
      <c r="BA32" s="1">
        <v>47.194192100000002</v>
      </c>
      <c r="CM32" s="1">
        <v>7</v>
      </c>
      <c r="CN32" s="1">
        <v>1</v>
      </c>
      <c r="CO32" s="1" t="s">
        <v>154</v>
      </c>
      <c r="CP32" s="1" t="s">
        <v>99</v>
      </c>
      <c r="CR32" s="1" t="s">
        <v>100</v>
      </c>
      <c r="CS32" s="1">
        <v>60.072724030000003</v>
      </c>
      <c r="CT32" s="1" t="s">
        <v>155</v>
      </c>
    </row>
    <row r="33" spans="2:98" x14ac:dyDescent="0.35">
      <c r="B33" s="1">
        <v>9</v>
      </c>
      <c r="C33" s="1">
        <v>9</v>
      </c>
      <c r="D33" s="1">
        <v>0</v>
      </c>
      <c r="F33" s="1" t="s">
        <v>127</v>
      </c>
      <c r="U33" s="1">
        <v>0</v>
      </c>
      <c r="V33" s="1">
        <v>9</v>
      </c>
      <c r="W33" s="1">
        <v>9</v>
      </c>
      <c r="X33" s="1">
        <v>5</v>
      </c>
      <c r="AC33" s="1">
        <v>47.710298199999997</v>
      </c>
      <c r="AS33" s="1">
        <v>48.694159800000001</v>
      </c>
      <c r="AT33" s="1">
        <v>48.710289400000001</v>
      </c>
      <c r="AU33" s="1">
        <v>49.193328700000002</v>
      </c>
      <c r="AY33" s="1">
        <v>47.697392499999999</v>
      </c>
      <c r="AZ33" s="1">
        <v>47.710298199999997</v>
      </c>
      <c r="BA33" s="1">
        <v>48.694106099999999</v>
      </c>
      <c r="CM33" s="1">
        <v>7</v>
      </c>
      <c r="CN33" s="1">
        <v>1</v>
      </c>
      <c r="CO33" s="1" t="s">
        <v>154</v>
      </c>
      <c r="CP33" s="1" t="s">
        <v>99</v>
      </c>
      <c r="CR33" s="1" t="s">
        <v>100</v>
      </c>
      <c r="CS33" s="1">
        <v>60.072724030000003</v>
      </c>
      <c r="CT33" s="1" t="s">
        <v>155</v>
      </c>
    </row>
    <row r="34" spans="2:98" x14ac:dyDescent="0.35">
      <c r="BB34" s="1">
        <v>49.193426600000002</v>
      </c>
      <c r="BC34" s="1">
        <v>49.210204900000001</v>
      </c>
      <c r="BD34" s="1">
        <v>49.210204900000001</v>
      </c>
      <c r="BE34" s="1">
        <v>51.527102300000003</v>
      </c>
      <c r="BF34" s="1" t="s">
        <v>102</v>
      </c>
      <c r="BG34" s="1">
        <v>2.3149042</v>
      </c>
      <c r="BH34" s="1" t="s">
        <v>103</v>
      </c>
      <c r="CM34" s="1">
        <v>7</v>
      </c>
      <c r="CN34" s="1">
        <v>1</v>
      </c>
      <c r="CO34" s="1" t="s">
        <v>154</v>
      </c>
      <c r="CP34" s="1" t="s">
        <v>99</v>
      </c>
      <c r="CR34" s="1" t="s">
        <v>100</v>
      </c>
      <c r="CS34" s="1">
        <v>60.072724030000003</v>
      </c>
      <c r="CT34" s="1" t="s">
        <v>155</v>
      </c>
    </row>
    <row r="35" spans="2:98" x14ac:dyDescent="0.35">
      <c r="BI35" s="1">
        <v>51.527180899999998</v>
      </c>
      <c r="BJ35" s="1">
        <v>51.543686399999999</v>
      </c>
      <c r="BK35" s="1">
        <v>51.543686399999999</v>
      </c>
      <c r="BL35" s="1">
        <v>52.6432912</v>
      </c>
      <c r="BM35" s="1">
        <v>3</v>
      </c>
      <c r="BN35" s="1">
        <v>1.0949230999999999</v>
      </c>
      <c r="BO35" s="1" t="s">
        <v>103</v>
      </c>
      <c r="CM35" s="1">
        <v>7</v>
      </c>
      <c r="CN35" s="1">
        <v>1</v>
      </c>
      <c r="CO35" s="1" t="s">
        <v>154</v>
      </c>
      <c r="CP35" s="1" t="s">
        <v>99</v>
      </c>
      <c r="CR35" s="1" t="s">
        <v>100</v>
      </c>
      <c r="CS35" s="1">
        <v>60.072724030000003</v>
      </c>
      <c r="CT35" s="1" t="s">
        <v>155</v>
      </c>
    </row>
    <row r="36" spans="2:98" x14ac:dyDescent="0.35">
      <c r="BP36" s="1">
        <v>52.643362400000001</v>
      </c>
      <c r="BQ36" s="1">
        <v>52.659691199999997</v>
      </c>
      <c r="BR36" s="1">
        <v>52.659691199999997</v>
      </c>
      <c r="BS36" s="1">
        <v>56.728017299999998</v>
      </c>
      <c r="BT36" s="1" t="s">
        <v>102</v>
      </c>
      <c r="BU36" s="1">
        <v>4.0631633000000003</v>
      </c>
      <c r="BV36" s="1" t="s">
        <v>103</v>
      </c>
      <c r="CM36" s="1">
        <v>7</v>
      </c>
      <c r="CN36" s="1">
        <v>1</v>
      </c>
      <c r="CO36" s="1" t="s">
        <v>154</v>
      </c>
      <c r="CP36" s="1" t="s">
        <v>99</v>
      </c>
      <c r="CR36" s="1" t="s">
        <v>100</v>
      </c>
      <c r="CS36" s="1">
        <v>60.072724030000003</v>
      </c>
      <c r="CT36" s="1" t="s">
        <v>155</v>
      </c>
    </row>
    <row r="37" spans="2:98" x14ac:dyDescent="0.35">
      <c r="B37" s="1">
        <v>0</v>
      </c>
      <c r="C37" s="1">
        <v>0</v>
      </c>
      <c r="D37" s="1">
        <v>0</v>
      </c>
      <c r="G37" s="1" t="s">
        <v>138</v>
      </c>
      <c r="H37" s="1" t="s">
        <v>136</v>
      </c>
      <c r="I37" s="1" t="s">
        <v>134</v>
      </c>
      <c r="J37" s="1">
        <v>0</v>
      </c>
      <c r="K37" s="1">
        <v>2.4316713000000001</v>
      </c>
      <c r="L37" s="1" t="s">
        <v>103</v>
      </c>
      <c r="Y37" s="1">
        <v>0</v>
      </c>
      <c r="Z37" s="1">
        <v>0</v>
      </c>
      <c r="AA37" s="1">
        <v>0</v>
      </c>
      <c r="AB37" s="1">
        <v>0</v>
      </c>
      <c r="AC37" s="1">
        <v>56.761943600000002</v>
      </c>
      <c r="AS37" s="1">
        <v>59.194362300000002</v>
      </c>
      <c r="AT37" s="1">
        <v>59.210338700000001</v>
      </c>
      <c r="AU37" s="1">
        <v>59.693820500000001</v>
      </c>
      <c r="BW37" s="1">
        <v>56.757573700000002</v>
      </c>
      <c r="BX37" s="1">
        <v>56.761943600000002</v>
      </c>
      <c r="BY37" s="1">
        <v>56.761943600000002</v>
      </c>
      <c r="BZ37" s="1">
        <v>59.1942649</v>
      </c>
      <c r="CA37" s="1" t="s">
        <v>134</v>
      </c>
      <c r="CB37" s="1">
        <v>0</v>
      </c>
      <c r="CC37" s="1">
        <v>2.4316713000000001</v>
      </c>
      <c r="CD37" s="1" t="s">
        <v>103</v>
      </c>
      <c r="CE37" s="1">
        <v>59.710241400000001</v>
      </c>
      <c r="CM37" s="1">
        <v>7</v>
      </c>
      <c r="CN37" s="1">
        <v>1</v>
      </c>
      <c r="CO37" s="1" t="s">
        <v>154</v>
      </c>
      <c r="CP37" s="1" t="s">
        <v>99</v>
      </c>
      <c r="CR37" s="1" t="s">
        <v>100</v>
      </c>
      <c r="CS37" s="1">
        <v>60.072724030000003</v>
      </c>
      <c r="CT37" s="1" t="s">
        <v>155</v>
      </c>
    </row>
    <row r="38" spans="2:98" x14ac:dyDescent="0.35">
      <c r="B38" s="1">
        <v>1</v>
      </c>
      <c r="C38" s="1">
        <v>1</v>
      </c>
      <c r="D38" s="1">
        <v>0</v>
      </c>
      <c r="G38" s="1" t="s">
        <v>129</v>
      </c>
      <c r="H38" s="1" t="s">
        <v>134</v>
      </c>
      <c r="I38" s="1" t="s">
        <v>134</v>
      </c>
      <c r="J38" s="1">
        <v>1</v>
      </c>
      <c r="K38" s="1">
        <v>2.7910138999999998</v>
      </c>
      <c r="L38" s="1" t="s">
        <v>103</v>
      </c>
      <c r="Y38" s="1">
        <v>0</v>
      </c>
      <c r="Z38" s="1">
        <v>1</v>
      </c>
      <c r="AA38" s="1">
        <v>1</v>
      </c>
      <c r="AB38" s="1">
        <v>5</v>
      </c>
      <c r="AC38" s="1">
        <v>59.710241400000001</v>
      </c>
      <c r="AS38" s="1">
        <v>62.510821900000003</v>
      </c>
      <c r="AT38" s="1">
        <v>62.526548900000002</v>
      </c>
      <c r="AU38" s="1">
        <v>63.010772199999998</v>
      </c>
      <c r="BW38" s="1">
        <v>59.698162500000002</v>
      </c>
      <c r="BX38" s="1">
        <v>59.710241400000001</v>
      </c>
      <c r="BY38" s="1">
        <v>59.710241400000001</v>
      </c>
      <c r="BZ38" s="1">
        <v>62.510694299999997</v>
      </c>
      <c r="CA38" s="1" t="s">
        <v>134</v>
      </c>
      <c r="CB38" s="1">
        <v>1</v>
      </c>
      <c r="CC38" s="1">
        <v>2.7910138999999998</v>
      </c>
      <c r="CD38" s="1" t="s">
        <v>103</v>
      </c>
      <c r="CE38" s="1">
        <v>63.026748099999999</v>
      </c>
      <c r="CM38" s="1">
        <v>7</v>
      </c>
      <c r="CN38" s="1">
        <v>1</v>
      </c>
      <c r="CO38" s="1" t="s">
        <v>154</v>
      </c>
      <c r="CP38" s="1" t="s">
        <v>99</v>
      </c>
      <c r="CR38" s="1" t="s">
        <v>100</v>
      </c>
      <c r="CS38" s="1">
        <v>60.072724030000003</v>
      </c>
      <c r="CT38" s="1" t="s">
        <v>155</v>
      </c>
    </row>
    <row r="39" spans="2:98" x14ac:dyDescent="0.35">
      <c r="B39" s="1">
        <v>2</v>
      </c>
      <c r="C39" s="1">
        <v>2</v>
      </c>
      <c r="D39" s="1">
        <v>0</v>
      </c>
      <c r="G39" s="1" t="s">
        <v>116</v>
      </c>
      <c r="H39" s="1" t="s">
        <v>134</v>
      </c>
      <c r="I39" s="1" t="s">
        <v>134</v>
      </c>
      <c r="J39" s="1">
        <v>1</v>
      </c>
      <c r="K39" s="1">
        <v>1.0320971999999999</v>
      </c>
      <c r="L39" s="1" t="s">
        <v>103</v>
      </c>
      <c r="Y39" s="1">
        <v>0</v>
      </c>
      <c r="Z39" s="1">
        <v>2</v>
      </c>
      <c r="AA39" s="1">
        <v>2</v>
      </c>
      <c r="AB39" s="1">
        <v>4</v>
      </c>
      <c r="AC39" s="1">
        <v>63.026748099999999</v>
      </c>
      <c r="AS39" s="1">
        <v>64.060933599999998</v>
      </c>
      <c r="AT39" s="1">
        <v>64.076561900000002</v>
      </c>
      <c r="AU39" s="1">
        <v>64.560094000000007</v>
      </c>
      <c r="BW39" s="1">
        <v>63.0154128</v>
      </c>
      <c r="BX39" s="1">
        <v>63.026748099999999</v>
      </c>
      <c r="BY39" s="1">
        <v>63.026748099999999</v>
      </c>
      <c r="BZ39" s="1">
        <v>64.060766099999995</v>
      </c>
      <c r="CA39" s="1" t="s">
        <v>134</v>
      </c>
      <c r="CB39" s="1">
        <v>1</v>
      </c>
      <c r="CC39" s="1">
        <v>1.0320971999999999</v>
      </c>
      <c r="CD39" s="1" t="s">
        <v>103</v>
      </c>
      <c r="CE39" s="1">
        <v>64.576572499999997</v>
      </c>
      <c r="CM39" s="1">
        <v>7</v>
      </c>
      <c r="CN39" s="1">
        <v>1</v>
      </c>
      <c r="CO39" s="1" t="s">
        <v>154</v>
      </c>
      <c r="CP39" s="1" t="s">
        <v>99</v>
      </c>
      <c r="CR39" s="1" t="s">
        <v>100</v>
      </c>
      <c r="CS39" s="1">
        <v>60.072724030000003</v>
      </c>
      <c r="CT39" s="1" t="s">
        <v>155</v>
      </c>
    </row>
    <row r="40" spans="2:98" x14ac:dyDescent="0.35">
      <c r="B40" s="1">
        <v>3</v>
      </c>
      <c r="C40" s="1">
        <v>3</v>
      </c>
      <c r="D40" s="1">
        <v>0</v>
      </c>
      <c r="G40" s="1" t="s">
        <v>130</v>
      </c>
      <c r="H40" s="1" t="s">
        <v>134</v>
      </c>
      <c r="I40" s="1" t="s">
        <v>134</v>
      </c>
      <c r="J40" s="1">
        <v>1</v>
      </c>
      <c r="K40" s="1">
        <v>1.0674816</v>
      </c>
      <c r="L40" s="1" t="s">
        <v>103</v>
      </c>
      <c r="Y40" s="1">
        <v>0</v>
      </c>
      <c r="Z40" s="1">
        <v>3</v>
      </c>
      <c r="AA40" s="1">
        <v>3</v>
      </c>
      <c r="AB40" s="1">
        <v>6</v>
      </c>
      <c r="AC40" s="1">
        <v>64.576572499999997</v>
      </c>
      <c r="AS40" s="1">
        <v>65.660322199999996</v>
      </c>
      <c r="AT40" s="1">
        <v>65.676588300000006</v>
      </c>
      <c r="AU40" s="1">
        <v>66.160240799999997</v>
      </c>
      <c r="BW40" s="1">
        <v>64.563271999999998</v>
      </c>
      <c r="BX40" s="1">
        <v>64.576572499999997</v>
      </c>
      <c r="BY40" s="1">
        <v>64.576572499999997</v>
      </c>
      <c r="BZ40" s="1">
        <v>65.660253999999995</v>
      </c>
      <c r="CA40" s="1" t="s">
        <v>134</v>
      </c>
      <c r="CB40" s="1">
        <v>1</v>
      </c>
      <c r="CC40" s="1">
        <v>1.0674816</v>
      </c>
      <c r="CD40" s="1" t="s">
        <v>103</v>
      </c>
      <c r="CE40" s="1">
        <v>66.176582199999999</v>
      </c>
      <c r="CM40" s="1">
        <v>7</v>
      </c>
      <c r="CN40" s="1">
        <v>1</v>
      </c>
      <c r="CO40" s="1" t="s">
        <v>154</v>
      </c>
      <c r="CP40" s="1" t="s">
        <v>99</v>
      </c>
      <c r="CR40" s="1" t="s">
        <v>100</v>
      </c>
      <c r="CS40" s="1">
        <v>60.072724030000003</v>
      </c>
      <c r="CT40" s="1" t="s">
        <v>155</v>
      </c>
    </row>
    <row r="41" spans="2:98" x14ac:dyDescent="0.35">
      <c r="B41" s="1">
        <v>4</v>
      </c>
      <c r="C41" s="1">
        <v>4</v>
      </c>
      <c r="D41" s="1">
        <v>0</v>
      </c>
      <c r="G41" s="1" t="s">
        <v>139</v>
      </c>
      <c r="H41" s="1" t="s">
        <v>136</v>
      </c>
      <c r="I41" s="1" t="s">
        <v>136</v>
      </c>
      <c r="J41" s="1">
        <v>1</v>
      </c>
      <c r="K41" s="1">
        <v>0.6145851</v>
      </c>
      <c r="L41" s="1" t="s">
        <v>103</v>
      </c>
      <c r="Y41" s="1">
        <v>0</v>
      </c>
      <c r="Z41" s="1">
        <v>4</v>
      </c>
      <c r="AA41" s="1">
        <v>4</v>
      </c>
      <c r="AB41" s="1">
        <v>9</v>
      </c>
      <c r="AC41" s="1">
        <v>66.176582199999999</v>
      </c>
      <c r="AS41" s="1">
        <v>66.793642500000004</v>
      </c>
      <c r="AT41" s="1">
        <v>66.809559399999998</v>
      </c>
      <c r="AU41" s="1">
        <v>67.293813</v>
      </c>
      <c r="BW41" s="1">
        <v>66.168161900000001</v>
      </c>
      <c r="BX41" s="1">
        <v>66.176582199999999</v>
      </c>
      <c r="BY41" s="1">
        <v>66.176582199999999</v>
      </c>
      <c r="BZ41" s="1">
        <v>66.793548400000006</v>
      </c>
      <c r="CA41" s="1" t="s">
        <v>136</v>
      </c>
      <c r="CB41" s="1">
        <v>1</v>
      </c>
      <c r="CC41" s="1">
        <v>0.6145851</v>
      </c>
      <c r="CD41" s="1" t="s">
        <v>103</v>
      </c>
      <c r="CE41" s="1">
        <v>67.309658600000006</v>
      </c>
      <c r="CM41" s="1">
        <v>7</v>
      </c>
      <c r="CN41" s="1">
        <v>1</v>
      </c>
      <c r="CO41" s="1" t="s">
        <v>154</v>
      </c>
      <c r="CP41" s="1" t="s">
        <v>99</v>
      </c>
      <c r="CR41" s="1" t="s">
        <v>100</v>
      </c>
      <c r="CS41" s="1">
        <v>60.072724030000003</v>
      </c>
      <c r="CT41" s="1" t="s">
        <v>155</v>
      </c>
    </row>
    <row r="42" spans="2:98" x14ac:dyDescent="0.35">
      <c r="B42" s="1">
        <v>5</v>
      </c>
      <c r="C42" s="1">
        <v>5</v>
      </c>
      <c r="D42" s="1">
        <v>0</v>
      </c>
      <c r="G42" s="1" t="s">
        <v>140</v>
      </c>
      <c r="H42" s="1" t="s">
        <v>136</v>
      </c>
      <c r="I42" s="1" t="s">
        <v>134</v>
      </c>
      <c r="J42" s="1">
        <v>0</v>
      </c>
      <c r="K42" s="1">
        <v>0.86336389999999996</v>
      </c>
      <c r="L42" s="1" t="s">
        <v>103</v>
      </c>
      <c r="Y42" s="1">
        <v>0</v>
      </c>
      <c r="Z42" s="1">
        <v>5</v>
      </c>
      <c r="AA42" s="1">
        <v>5</v>
      </c>
      <c r="AB42" s="1">
        <v>2</v>
      </c>
      <c r="AC42" s="1">
        <v>67.309658600000006</v>
      </c>
      <c r="AS42" s="1">
        <v>68.177064400000006</v>
      </c>
      <c r="AT42" s="1">
        <v>68.193323800000002</v>
      </c>
      <c r="AU42" s="1">
        <v>68.676776399999994</v>
      </c>
      <c r="BW42" s="1">
        <v>67.298051299999997</v>
      </c>
      <c r="BX42" s="1">
        <v>67.309658600000006</v>
      </c>
      <c r="BY42" s="1">
        <v>67.309658600000006</v>
      </c>
      <c r="BZ42" s="1">
        <v>68.176982300000006</v>
      </c>
      <c r="CA42" s="1" t="s">
        <v>134</v>
      </c>
      <c r="CB42" s="1">
        <v>0</v>
      </c>
      <c r="CC42" s="1">
        <v>0.86336389999999996</v>
      </c>
      <c r="CD42" s="1" t="s">
        <v>103</v>
      </c>
      <c r="CE42" s="1">
        <v>68.693027799999996</v>
      </c>
      <c r="CM42" s="1">
        <v>7</v>
      </c>
      <c r="CN42" s="1">
        <v>1</v>
      </c>
      <c r="CO42" s="1" t="s">
        <v>154</v>
      </c>
      <c r="CP42" s="1" t="s">
        <v>99</v>
      </c>
      <c r="CR42" s="1" t="s">
        <v>100</v>
      </c>
      <c r="CS42" s="1">
        <v>60.072724030000003</v>
      </c>
      <c r="CT42" s="1" t="s">
        <v>155</v>
      </c>
    </row>
    <row r="43" spans="2:98" x14ac:dyDescent="0.35">
      <c r="B43" s="1">
        <v>6</v>
      </c>
      <c r="C43" s="1">
        <v>6</v>
      </c>
      <c r="D43" s="1">
        <v>0</v>
      </c>
      <c r="G43" s="1" t="s">
        <v>106</v>
      </c>
      <c r="H43" s="1" t="s">
        <v>134</v>
      </c>
      <c r="I43" s="1" t="s">
        <v>134</v>
      </c>
      <c r="J43" s="1">
        <v>1</v>
      </c>
      <c r="K43" s="1">
        <v>0.90006229999999998</v>
      </c>
      <c r="L43" s="1" t="s">
        <v>103</v>
      </c>
      <c r="Y43" s="1">
        <v>0</v>
      </c>
      <c r="Z43" s="1">
        <v>6</v>
      </c>
      <c r="AA43" s="1">
        <v>6</v>
      </c>
      <c r="AB43" s="1">
        <v>3</v>
      </c>
      <c r="AC43" s="1">
        <v>68.693027799999996</v>
      </c>
      <c r="AS43" s="1">
        <v>69.593915300000006</v>
      </c>
      <c r="AT43" s="1">
        <v>69.609744800000001</v>
      </c>
      <c r="AU43" s="1">
        <v>70.093603999999999</v>
      </c>
      <c r="BW43" s="1">
        <v>68.679958099999993</v>
      </c>
      <c r="BX43" s="1">
        <v>68.693027799999996</v>
      </c>
      <c r="BY43" s="1">
        <v>68.693027799999996</v>
      </c>
      <c r="BZ43" s="1">
        <v>69.593857099999994</v>
      </c>
      <c r="CA43" s="1" t="s">
        <v>134</v>
      </c>
      <c r="CB43" s="1">
        <v>1</v>
      </c>
      <c r="CC43" s="1">
        <v>0.90006229999999998</v>
      </c>
      <c r="CD43" s="1" t="s">
        <v>103</v>
      </c>
      <c r="CE43" s="1">
        <v>70.109521700000002</v>
      </c>
      <c r="CM43" s="1">
        <v>7</v>
      </c>
      <c r="CN43" s="1">
        <v>1</v>
      </c>
      <c r="CO43" s="1" t="s">
        <v>154</v>
      </c>
      <c r="CP43" s="1" t="s">
        <v>99</v>
      </c>
      <c r="CR43" s="1" t="s">
        <v>100</v>
      </c>
      <c r="CS43" s="1">
        <v>60.072724030000003</v>
      </c>
      <c r="CT43" s="1" t="s">
        <v>155</v>
      </c>
    </row>
    <row r="44" spans="2:98" x14ac:dyDescent="0.35">
      <c r="B44" s="1">
        <v>7</v>
      </c>
      <c r="C44" s="1">
        <v>7</v>
      </c>
      <c r="D44" s="1">
        <v>0</v>
      </c>
      <c r="G44" s="1" t="s">
        <v>137</v>
      </c>
      <c r="H44" s="1" t="s">
        <v>136</v>
      </c>
      <c r="I44" s="1" t="s">
        <v>136</v>
      </c>
      <c r="J44" s="1">
        <v>1</v>
      </c>
      <c r="K44" s="1">
        <v>0.79688029999999999</v>
      </c>
      <c r="L44" s="1" t="s">
        <v>103</v>
      </c>
      <c r="Y44" s="1">
        <v>0</v>
      </c>
      <c r="Z44" s="1">
        <v>7</v>
      </c>
      <c r="AA44" s="1">
        <v>7</v>
      </c>
      <c r="AB44" s="1">
        <v>7</v>
      </c>
      <c r="AC44" s="1">
        <v>70.109521700000002</v>
      </c>
      <c r="AS44" s="1">
        <v>70.910159399999998</v>
      </c>
      <c r="AT44" s="1">
        <v>70.926017900000005</v>
      </c>
      <c r="AU44" s="1">
        <v>71.409927600000003</v>
      </c>
      <c r="BW44" s="1">
        <v>70.097462500000006</v>
      </c>
      <c r="BX44" s="1">
        <v>70.109521700000002</v>
      </c>
      <c r="BY44" s="1">
        <v>70.109521700000002</v>
      </c>
      <c r="BZ44" s="1">
        <v>70.910045100000005</v>
      </c>
      <c r="CA44" s="1" t="s">
        <v>136</v>
      </c>
      <c r="CB44" s="1">
        <v>1</v>
      </c>
      <c r="CC44" s="1">
        <v>0.79688029999999999</v>
      </c>
      <c r="CD44" s="1" t="s">
        <v>103</v>
      </c>
      <c r="CE44" s="1">
        <v>71.426069999999996</v>
      </c>
      <c r="CM44" s="1">
        <v>7</v>
      </c>
      <c r="CN44" s="1">
        <v>1</v>
      </c>
      <c r="CO44" s="1" t="s">
        <v>154</v>
      </c>
      <c r="CP44" s="1" t="s">
        <v>99</v>
      </c>
      <c r="CR44" s="1" t="s">
        <v>100</v>
      </c>
      <c r="CS44" s="1">
        <v>60.072724030000003</v>
      </c>
      <c r="CT44" s="1" t="s">
        <v>155</v>
      </c>
    </row>
    <row r="45" spans="2:98" x14ac:dyDescent="0.35">
      <c r="B45" s="1">
        <v>8</v>
      </c>
      <c r="C45" s="1">
        <v>8</v>
      </c>
      <c r="D45" s="1">
        <v>0</v>
      </c>
      <c r="G45" s="1" t="s">
        <v>141</v>
      </c>
      <c r="H45" s="1" t="s">
        <v>136</v>
      </c>
      <c r="I45" s="1" t="s">
        <v>134</v>
      </c>
      <c r="J45" s="1">
        <v>0</v>
      </c>
      <c r="K45" s="1">
        <v>0.81212050000000002</v>
      </c>
      <c r="L45" s="1" t="s">
        <v>103</v>
      </c>
      <c r="Y45" s="1">
        <v>0</v>
      </c>
      <c r="Z45" s="1">
        <v>8</v>
      </c>
      <c r="AA45" s="1">
        <v>8</v>
      </c>
      <c r="AB45" s="1">
        <v>1</v>
      </c>
      <c r="AC45" s="1">
        <v>71.426069999999996</v>
      </c>
      <c r="AS45" s="1">
        <v>72.243409900000003</v>
      </c>
      <c r="AT45" s="1">
        <v>72.259306499999994</v>
      </c>
      <c r="AU45" s="1">
        <v>72.743820499999998</v>
      </c>
      <c r="BW45" s="1">
        <v>71.412954400000004</v>
      </c>
      <c r="BX45" s="1">
        <v>71.426069999999996</v>
      </c>
      <c r="BY45" s="1">
        <v>71.426069999999996</v>
      </c>
      <c r="BZ45" s="1">
        <v>72.243307400000006</v>
      </c>
      <c r="CA45" s="1" t="s">
        <v>134</v>
      </c>
      <c r="CB45" s="1">
        <v>0</v>
      </c>
      <c r="CC45" s="1">
        <v>0.81212050000000002</v>
      </c>
      <c r="CD45" s="1" t="s">
        <v>103</v>
      </c>
      <c r="CM45" s="1">
        <v>7</v>
      </c>
      <c r="CN45" s="1">
        <v>1</v>
      </c>
      <c r="CO45" s="1" t="s">
        <v>154</v>
      </c>
      <c r="CP45" s="1" t="s">
        <v>99</v>
      </c>
      <c r="CR45" s="1" t="s">
        <v>100</v>
      </c>
      <c r="CS45" s="1">
        <v>60.072724030000003</v>
      </c>
      <c r="CT45" s="1" t="s">
        <v>155</v>
      </c>
    </row>
    <row r="46" spans="2:98" x14ac:dyDescent="0.35">
      <c r="B46" s="1">
        <v>9</v>
      </c>
      <c r="C46" s="1">
        <v>9</v>
      </c>
      <c r="D46" s="1">
        <v>0</v>
      </c>
      <c r="G46" s="1" t="s">
        <v>135</v>
      </c>
      <c r="H46" s="1" t="s">
        <v>136</v>
      </c>
      <c r="I46" s="1" t="s">
        <v>136</v>
      </c>
      <c r="J46" s="1">
        <v>1</v>
      </c>
      <c r="K46" s="1">
        <v>0.70337099999999997</v>
      </c>
      <c r="L46" s="1" t="s">
        <v>103</v>
      </c>
      <c r="Y46" s="1">
        <v>0</v>
      </c>
      <c r="Z46" s="1">
        <v>9</v>
      </c>
      <c r="AA46" s="1">
        <v>9</v>
      </c>
      <c r="AB46" s="1">
        <v>8</v>
      </c>
      <c r="AC46" s="1">
        <v>72.762318500000006</v>
      </c>
      <c r="AS46" s="1">
        <v>73.477847499999996</v>
      </c>
      <c r="AT46" s="1">
        <v>73.493111799999994</v>
      </c>
      <c r="AU46" s="1">
        <v>73.976331000000002</v>
      </c>
      <c r="BW46" s="1">
        <v>72.753416000000001</v>
      </c>
      <c r="BX46" s="1">
        <v>72.762318500000006</v>
      </c>
      <c r="BY46" s="1">
        <v>72.762318500000006</v>
      </c>
      <c r="BZ46" s="1">
        <v>73.477751100000006</v>
      </c>
      <c r="CA46" s="1" t="s">
        <v>136</v>
      </c>
      <c r="CB46" s="1">
        <v>1</v>
      </c>
      <c r="CC46" s="1">
        <v>0.70337099999999997</v>
      </c>
      <c r="CD46" s="1" t="s">
        <v>103</v>
      </c>
      <c r="CE46" s="1">
        <v>73.993132799999998</v>
      </c>
      <c r="CM46" s="1">
        <v>7</v>
      </c>
      <c r="CN46" s="1">
        <v>1</v>
      </c>
      <c r="CO46" s="1" t="s">
        <v>154</v>
      </c>
      <c r="CP46" s="1" t="s">
        <v>99</v>
      </c>
      <c r="CR46" s="1" t="s">
        <v>100</v>
      </c>
      <c r="CS46" s="1">
        <v>60.072724030000003</v>
      </c>
      <c r="CT46" s="1" t="s">
        <v>155</v>
      </c>
    </row>
    <row r="47" spans="2:98" x14ac:dyDescent="0.35">
      <c r="CF47" s="1">
        <v>73.976423100000005</v>
      </c>
      <c r="CG47" s="1">
        <v>73.993132799999998</v>
      </c>
      <c r="CH47" s="1">
        <v>73.993132799999998</v>
      </c>
      <c r="CI47" s="1">
        <v>77.193967799999996</v>
      </c>
      <c r="CJ47" s="1" t="s">
        <v>102</v>
      </c>
      <c r="CK47" s="1">
        <v>3.1971327999999999</v>
      </c>
      <c r="CL47" s="1" t="s">
        <v>103</v>
      </c>
      <c r="CM47" s="1">
        <v>7</v>
      </c>
      <c r="CN47" s="1">
        <v>1</v>
      </c>
      <c r="CO47" s="1" t="s">
        <v>154</v>
      </c>
      <c r="CP47" s="1" t="s">
        <v>99</v>
      </c>
      <c r="CR47" s="1" t="s">
        <v>100</v>
      </c>
      <c r="CS47" s="1">
        <v>60.072724030000003</v>
      </c>
      <c r="CT47" s="1" t="s">
        <v>155</v>
      </c>
    </row>
    <row r="49" spans="10:11" x14ac:dyDescent="0.35">
      <c r="J49" s="2">
        <f>AVERAGE(J37:J46)</f>
        <v>0.7</v>
      </c>
      <c r="K49" s="2">
        <f>AVERAGE(K37:K46)</f>
        <v>1.20126471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027129-995F-454B-95DC-970923769DE8}">
  <dimension ref="A1:CS49"/>
  <sheetViews>
    <sheetView topLeftCell="C32" zoomScale="94" workbookViewId="0">
      <selection activeCell="J45" sqref="J45"/>
    </sheetView>
  </sheetViews>
  <sheetFormatPr defaultRowHeight="14.5" x14ac:dyDescent="0.35"/>
  <cols>
    <col min="1" max="16384" width="8.7265625" style="1"/>
  </cols>
  <sheetData>
    <row r="1" spans="1:9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33</v>
      </c>
      <c r="AH1" s="1" t="s">
        <v>34</v>
      </c>
      <c r="AI1" s="1" t="s">
        <v>35</v>
      </c>
      <c r="AJ1" s="1" t="s">
        <v>36</v>
      </c>
      <c r="AK1" s="1" t="s">
        <v>37</v>
      </c>
      <c r="AL1" s="1" t="s">
        <v>38</v>
      </c>
      <c r="AM1" s="1" t="s">
        <v>39</v>
      </c>
      <c r="AN1" s="1" t="s">
        <v>40</v>
      </c>
      <c r="AO1" s="1" t="s">
        <v>41</v>
      </c>
      <c r="AP1" s="1" t="s">
        <v>42</v>
      </c>
      <c r="AQ1" s="1" t="s">
        <v>43</v>
      </c>
      <c r="AR1" s="1" t="s">
        <v>44</v>
      </c>
      <c r="AS1" s="1" t="s">
        <v>45</v>
      </c>
      <c r="AT1" s="1" t="s">
        <v>46</v>
      </c>
      <c r="AU1" s="1" t="s">
        <v>47</v>
      </c>
      <c r="AV1" s="1" t="s">
        <v>48</v>
      </c>
      <c r="AW1" s="1" t="s">
        <v>49</v>
      </c>
      <c r="AX1" s="1" t="s">
        <v>50</v>
      </c>
      <c r="AY1" s="1" t="s">
        <v>51</v>
      </c>
      <c r="AZ1" s="1" t="s">
        <v>52</v>
      </c>
      <c r="BA1" s="1" t="s">
        <v>53</v>
      </c>
      <c r="BB1" s="1" t="s">
        <v>54</v>
      </c>
      <c r="BC1" s="1" t="s">
        <v>55</v>
      </c>
      <c r="BD1" s="1" t="s">
        <v>56</v>
      </c>
      <c r="BE1" s="1" t="s">
        <v>57</v>
      </c>
      <c r="BF1" s="1" t="s">
        <v>58</v>
      </c>
      <c r="BG1" s="1" t="s">
        <v>59</v>
      </c>
      <c r="BH1" s="1" t="s">
        <v>60</v>
      </c>
      <c r="BI1" s="1" t="s">
        <v>61</v>
      </c>
      <c r="BJ1" s="1" t="s">
        <v>62</v>
      </c>
      <c r="BK1" s="1" t="s">
        <v>63</v>
      </c>
      <c r="BL1" s="1" t="s">
        <v>64</v>
      </c>
      <c r="BM1" s="1" t="s">
        <v>65</v>
      </c>
      <c r="BN1" s="1" t="s">
        <v>66</v>
      </c>
      <c r="BO1" s="1" t="s">
        <v>67</v>
      </c>
      <c r="BP1" s="1" t="s">
        <v>68</v>
      </c>
      <c r="BQ1" s="1" t="s">
        <v>69</v>
      </c>
      <c r="BR1" s="1" t="s">
        <v>70</v>
      </c>
      <c r="BS1" s="1" t="s">
        <v>71</v>
      </c>
      <c r="BT1" s="1" t="s">
        <v>72</v>
      </c>
      <c r="BU1" s="1" t="s">
        <v>73</v>
      </c>
      <c r="BV1" s="1" t="s">
        <v>74</v>
      </c>
      <c r="BW1" s="1" t="s">
        <v>75</v>
      </c>
      <c r="BX1" s="1" t="s">
        <v>76</v>
      </c>
      <c r="BY1" s="1" t="s">
        <v>77</v>
      </c>
      <c r="BZ1" s="1" t="s">
        <v>78</v>
      </c>
      <c r="CA1" s="1" t="s">
        <v>79</v>
      </c>
      <c r="CB1" s="1" t="s">
        <v>80</v>
      </c>
      <c r="CC1" s="1" t="s">
        <v>81</v>
      </c>
      <c r="CD1" s="1" t="s">
        <v>82</v>
      </c>
      <c r="CE1" s="1" t="s">
        <v>83</v>
      </c>
      <c r="CF1" s="1" t="s">
        <v>84</v>
      </c>
      <c r="CG1" s="1" t="s">
        <v>85</v>
      </c>
      <c r="CH1" s="1" t="s">
        <v>86</v>
      </c>
      <c r="CI1" s="1" t="s">
        <v>87</v>
      </c>
      <c r="CJ1" s="1" t="s">
        <v>88</v>
      </c>
      <c r="CK1" s="1" t="s">
        <v>89</v>
      </c>
      <c r="CL1" s="1" t="s">
        <v>90</v>
      </c>
      <c r="CM1" s="1" t="s">
        <v>91</v>
      </c>
      <c r="CN1" s="1" t="s">
        <v>92</v>
      </c>
      <c r="CO1" s="1" t="s">
        <v>93</v>
      </c>
      <c r="CP1" s="1" t="s">
        <v>94</v>
      </c>
      <c r="CQ1" s="1" t="s">
        <v>95</v>
      </c>
      <c r="CR1" s="1" t="s">
        <v>96</v>
      </c>
      <c r="CS1" s="1" t="s">
        <v>97</v>
      </c>
    </row>
    <row r="2" spans="1:97" x14ac:dyDescent="0.35">
      <c r="AE2" s="1">
        <v>3.6801999999999998E-3</v>
      </c>
      <c r="AF2" s="1">
        <v>9.1499000000000007E-3</v>
      </c>
      <c r="AG2" s="1">
        <v>3.0040802000000002</v>
      </c>
      <c r="CL2" s="1">
        <v>8</v>
      </c>
      <c r="CM2" s="1">
        <v>1</v>
      </c>
      <c r="CN2" s="1" t="s">
        <v>156</v>
      </c>
      <c r="CO2" s="1" t="s">
        <v>99</v>
      </c>
      <c r="CQ2" s="1" t="s">
        <v>100</v>
      </c>
      <c r="CR2" s="1">
        <v>59.939425219999997</v>
      </c>
      <c r="CS2" s="1" t="s">
        <v>157</v>
      </c>
    </row>
    <row r="3" spans="1:97" x14ac:dyDescent="0.35">
      <c r="AH3" s="1">
        <v>3.0041981</v>
      </c>
      <c r="AI3" s="1">
        <v>3.0199753999999999</v>
      </c>
      <c r="AJ3" s="1">
        <v>3.0199753999999999</v>
      </c>
      <c r="AK3" s="1">
        <v>5.4644434000000004</v>
      </c>
      <c r="AL3" s="1" t="s">
        <v>102</v>
      </c>
      <c r="AM3" s="1">
        <v>2.4242335000000002</v>
      </c>
      <c r="AN3" s="1" t="s">
        <v>103</v>
      </c>
      <c r="CL3" s="1">
        <v>8</v>
      </c>
      <c r="CM3" s="1">
        <v>1</v>
      </c>
      <c r="CN3" s="1" t="s">
        <v>156</v>
      </c>
      <c r="CO3" s="1" t="s">
        <v>99</v>
      </c>
      <c r="CQ3" s="1" t="s">
        <v>100</v>
      </c>
      <c r="CR3" s="1">
        <v>59.939425219999997</v>
      </c>
      <c r="CS3" s="1" t="s">
        <v>157</v>
      </c>
    </row>
    <row r="4" spans="1:97" x14ac:dyDescent="0.35">
      <c r="A4" s="1" t="s">
        <v>104</v>
      </c>
      <c r="B4" s="1">
        <v>0</v>
      </c>
      <c r="C4" s="1">
        <v>0</v>
      </c>
      <c r="D4" s="1">
        <v>0</v>
      </c>
      <c r="M4" s="1">
        <v>0</v>
      </c>
      <c r="N4" s="1">
        <v>0</v>
      </c>
      <c r="O4" s="1">
        <v>0</v>
      </c>
      <c r="P4" s="1">
        <v>2</v>
      </c>
      <c r="AC4" s="1">
        <v>5.4768996999999997</v>
      </c>
      <c r="AO4" s="1">
        <v>5.4741676999999997</v>
      </c>
      <c r="AP4" s="1">
        <v>5.4768996999999997</v>
      </c>
      <c r="AQ4" s="1">
        <v>6.4708418999999999</v>
      </c>
      <c r="AR4" s="1">
        <v>6.4709694999999998</v>
      </c>
      <c r="AS4" s="1">
        <v>6.4870913999999997</v>
      </c>
      <c r="AT4" s="1">
        <v>6.9714555999999996</v>
      </c>
      <c r="CL4" s="1">
        <v>8</v>
      </c>
      <c r="CM4" s="1">
        <v>1</v>
      </c>
      <c r="CN4" s="1" t="s">
        <v>156</v>
      </c>
      <c r="CO4" s="1" t="s">
        <v>99</v>
      </c>
      <c r="CQ4" s="1" t="s">
        <v>100</v>
      </c>
      <c r="CR4" s="1">
        <v>59.939425219999997</v>
      </c>
      <c r="CS4" s="1" t="s">
        <v>157</v>
      </c>
    </row>
    <row r="5" spans="1:97" x14ac:dyDescent="0.35">
      <c r="A5" s="1" t="s">
        <v>111</v>
      </c>
      <c r="B5" s="1">
        <v>1</v>
      </c>
      <c r="C5" s="1">
        <v>1</v>
      </c>
      <c r="D5" s="1">
        <v>0</v>
      </c>
      <c r="M5" s="1">
        <v>0</v>
      </c>
      <c r="N5" s="1">
        <v>1</v>
      </c>
      <c r="O5" s="1">
        <v>1</v>
      </c>
      <c r="P5" s="1">
        <v>3</v>
      </c>
      <c r="AC5" s="1">
        <v>6.9866804</v>
      </c>
      <c r="AO5" s="1">
        <v>6.9773484999999997</v>
      </c>
      <c r="AP5" s="1">
        <v>6.9866804</v>
      </c>
      <c r="AQ5" s="1">
        <v>7.9710093000000004</v>
      </c>
      <c r="AR5" s="1">
        <v>7.9710776000000001</v>
      </c>
      <c r="AS5" s="1">
        <v>7.9871281999999999</v>
      </c>
      <c r="AT5" s="1">
        <v>8.4711469000000008</v>
      </c>
      <c r="CL5" s="1">
        <v>8</v>
      </c>
      <c r="CM5" s="1">
        <v>1</v>
      </c>
      <c r="CN5" s="1" t="s">
        <v>156</v>
      </c>
      <c r="CO5" s="1" t="s">
        <v>99</v>
      </c>
      <c r="CQ5" s="1" t="s">
        <v>100</v>
      </c>
      <c r="CR5" s="1">
        <v>59.939425219999997</v>
      </c>
      <c r="CS5" s="1" t="s">
        <v>157</v>
      </c>
    </row>
    <row r="6" spans="1:97" x14ac:dyDescent="0.35">
      <c r="A6" s="1" t="s">
        <v>106</v>
      </c>
      <c r="B6" s="1">
        <v>2</v>
      </c>
      <c r="C6" s="1">
        <v>2</v>
      </c>
      <c r="D6" s="1">
        <v>0</v>
      </c>
      <c r="M6" s="1">
        <v>0</v>
      </c>
      <c r="N6" s="1">
        <v>2</v>
      </c>
      <c r="O6" s="1">
        <v>2</v>
      </c>
      <c r="P6" s="1">
        <v>0</v>
      </c>
      <c r="AC6" s="1">
        <v>8.4870423000000006</v>
      </c>
      <c r="AO6" s="1">
        <v>8.4753343999999995</v>
      </c>
      <c r="AP6" s="1">
        <v>8.4870423000000006</v>
      </c>
      <c r="AQ6" s="1">
        <v>9.4710172999999998</v>
      </c>
      <c r="AR6" s="1">
        <v>9.4711242000000002</v>
      </c>
      <c r="AS6" s="1">
        <v>9.4873811000000003</v>
      </c>
      <c r="AT6" s="1">
        <v>9.9711411999999999</v>
      </c>
      <c r="CL6" s="1">
        <v>8</v>
      </c>
      <c r="CM6" s="1">
        <v>1</v>
      </c>
      <c r="CN6" s="1" t="s">
        <v>156</v>
      </c>
      <c r="CO6" s="1" t="s">
        <v>99</v>
      </c>
      <c r="CQ6" s="1" t="s">
        <v>100</v>
      </c>
      <c r="CR6" s="1">
        <v>59.939425219999997</v>
      </c>
      <c r="CS6" s="1" t="s">
        <v>157</v>
      </c>
    </row>
    <row r="7" spans="1:97" x14ac:dyDescent="0.35">
      <c r="A7" s="1" t="s">
        <v>108</v>
      </c>
      <c r="B7" s="1">
        <v>3</v>
      </c>
      <c r="C7" s="1">
        <v>3</v>
      </c>
      <c r="D7" s="1">
        <v>0</v>
      </c>
      <c r="M7" s="1">
        <v>0</v>
      </c>
      <c r="N7" s="1">
        <v>3</v>
      </c>
      <c r="O7" s="1">
        <v>3</v>
      </c>
      <c r="P7" s="1">
        <v>4</v>
      </c>
      <c r="AC7" s="1">
        <v>9.9868000000000006</v>
      </c>
      <c r="AO7" s="1">
        <v>9.9754263000000005</v>
      </c>
      <c r="AP7" s="1">
        <v>9.9868000000000006</v>
      </c>
      <c r="AQ7" s="1">
        <v>10.9714674</v>
      </c>
      <c r="AR7" s="1">
        <v>10.971575700000001</v>
      </c>
      <c r="AS7" s="1">
        <v>10.987429499999999</v>
      </c>
      <c r="AT7" s="1">
        <v>11.470219</v>
      </c>
      <c r="CL7" s="1">
        <v>8</v>
      </c>
      <c r="CM7" s="1">
        <v>1</v>
      </c>
      <c r="CN7" s="1" t="s">
        <v>156</v>
      </c>
      <c r="CO7" s="1" t="s">
        <v>99</v>
      </c>
      <c r="CQ7" s="1" t="s">
        <v>100</v>
      </c>
      <c r="CR7" s="1">
        <v>59.939425219999997</v>
      </c>
      <c r="CS7" s="1" t="s">
        <v>157</v>
      </c>
    </row>
    <row r="8" spans="1:97" x14ac:dyDescent="0.35">
      <c r="A8" s="1" t="s">
        <v>109</v>
      </c>
      <c r="B8" s="1">
        <v>4</v>
      </c>
      <c r="C8" s="1">
        <v>4</v>
      </c>
      <c r="D8" s="1">
        <v>0</v>
      </c>
      <c r="M8" s="1">
        <v>0</v>
      </c>
      <c r="N8" s="1">
        <v>4</v>
      </c>
      <c r="O8" s="1">
        <v>4</v>
      </c>
      <c r="P8" s="1">
        <v>8</v>
      </c>
      <c r="AC8" s="1">
        <v>11.4865963</v>
      </c>
      <c r="AO8" s="1">
        <v>11.4743671</v>
      </c>
      <c r="AP8" s="1">
        <v>11.4865963</v>
      </c>
      <c r="AQ8" s="1">
        <v>12.4706765</v>
      </c>
      <c r="AR8" s="1">
        <v>12.470737400000001</v>
      </c>
      <c r="AS8" s="1">
        <v>12.486773700000001</v>
      </c>
      <c r="AT8" s="1">
        <v>12.970396300000001</v>
      </c>
      <c r="CL8" s="1">
        <v>8</v>
      </c>
      <c r="CM8" s="1">
        <v>1</v>
      </c>
      <c r="CN8" s="1" t="s">
        <v>156</v>
      </c>
      <c r="CO8" s="1" t="s">
        <v>99</v>
      </c>
      <c r="CQ8" s="1" t="s">
        <v>100</v>
      </c>
      <c r="CR8" s="1">
        <v>59.939425219999997</v>
      </c>
      <c r="CS8" s="1" t="s">
        <v>157</v>
      </c>
    </row>
    <row r="9" spans="1:97" x14ac:dyDescent="0.35">
      <c r="A9" s="1" t="s">
        <v>105</v>
      </c>
      <c r="B9" s="1">
        <v>5</v>
      </c>
      <c r="C9" s="1">
        <v>5</v>
      </c>
      <c r="D9" s="1">
        <v>0</v>
      </c>
      <c r="M9" s="1">
        <v>0</v>
      </c>
      <c r="N9" s="1">
        <v>5</v>
      </c>
      <c r="O9" s="1">
        <v>5</v>
      </c>
      <c r="P9" s="1">
        <v>1</v>
      </c>
      <c r="AC9" s="1">
        <v>12.986883199999999</v>
      </c>
      <c r="AO9" s="1">
        <v>12.9744113</v>
      </c>
      <c r="AP9" s="1">
        <v>12.986883199999999</v>
      </c>
      <c r="AQ9" s="1">
        <v>13.9703278</v>
      </c>
      <c r="AR9" s="1">
        <v>13.970408900000001</v>
      </c>
      <c r="AS9" s="1">
        <v>13.9865026</v>
      </c>
      <c r="AT9" s="1">
        <v>14.470395099999999</v>
      </c>
      <c r="CL9" s="1">
        <v>8</v>
      </c>
      <c r="CM9" s="1">
        <v>1</v>
      </c>
      <c r="CN9" s="1" t="s">
        <v>156</v>
      </c>
      <c r="CO9" s="1" t="s">
        <v>99</v>
      </c>
      <c r="CQ9" s="1" t="s">
        <v>100</v>
      </c>
      <c r="CR9" s="1">
        <v>59.939425219999997</v>
      </c>
      <c r="CS9" s="1" t="s">
        <v>157</v>
      </c>
    </row>
    <row r="10" spans="1:97" x14ac:dyDescent="0.35">
      <c r="A10" s="1" t="s">
        <v>110</v>
      </c>
      <c r="B10" s="1">
        <v>6</v>
      </c>
      <c r="C10" s="1">
        <v>6</v>
      </c>
      <c r="D10" s="1">
        <v>0</v>
      </c>
      <c r="M10" s="1">
        <v>0</v>
      </c>
      <c r="N10" s="1">
        <v>6</v>
      </c>
      <c r="O10" s="1">
        <v>6</v>
      </c>
      <c r="P10" s="1">
        <v>7</v>
      </c>
      <c r="AC10" s="1">
        <v>14.4867518</v>
      </c>
      <c r="AO10" s="1">
        <v>14.474420200000001</v>
      </c>
      <c r="AP10" s="1">
        <v>14.4867518</v>
      </c>
      <c r="AQ10" s="1">
        <v>15.470107799999999</v>
      </c>
      <c r="AR10" s="1">
        <v>15.470159000000001</v>
      </c>
      <c r="AS10" s="1">
        <v>15.4866984</v>
      </c>
      <c r="AT10" s="1">
        <v>15.9700717</v>
      </c>
      <c r="CL10" s="1">
        <v>8</v>
      </c>
      <c r="CM10" s="1">
        <v>1</v>
      </c>
      <c r="CN10" s="1" t="s">
        <v>156</v>
      </c>
      <c r="CO10" s="1" t="s">
        <v>99</v>
      </c>
      <c r="CQ10" s="1" t="s">
        <v>100</v>
      </c>
      <c r="CR10" s="1">
        <v>59.939425219999997</v>
      </c>
      <c r="CS10" s="1" t="s">
        <v>157</v>
      </c>
    </row>
    <row r="11" spans="1:97" x14ac:dyDescent="0.35">
      <c r="A11" s="1" t="s">
        <v>107</v>
      </c>
      <c r="B11" s="1">
        <v>7</v>
      </c>
      <c r="C11" s="1">
        <v>7</v>
      </c>
      <c r="D11" s="1">
        <v>0</v>
      </c>
      <c r="M11" s="1">
        <v>0</v>
      </c>
      <c r="N11" s="1">
        <v>7</v>
      </c>
      <c r="O11" s="1">
        <v>7</v>
      </c>
      <c r="P11" s="1">
        <v>9</v>
      </c>
      <c r="AC11" s="1">
        <v>15.9866663</v>
      </c>
      <c r="AO11" s="1">
        <v>15.9729855</v>
      </c>
      <c r="AP11" s="1">
        <v>15.9866663</v>
      </c>
      <c r="AQ11" s="1">
        <v>16.970322400000001</v>
      </c>
      <c r="AR11" s="1">
        <v>16.9704081</v>
      </c>
      <c r="AS11" s="1">
        <v>16.986355700000001</v>
      </c>
      <c r="AT11" s="1">
        <v>17.470215199999998</v>
      </c>
      <c r="CL11" s="1">
        <v>8</v>
      </c>
      <c r="CM11" s="1">
        <v>1</v>
      </c>
      <c r="CN11" s="1" t="s">
        <v>156</v>
      </c>
      <c r="CO11" s="1" t="s">
        <v>99</v>
      </c>
      <c r="CQ11" s="1" t="s">
        <v>100</v>
      </c>
      <c r="CR11" s="1">
        <v>59.939425219999997</v>
      </c>
      <c r="CS11" s="1" t="s">
        <v>157</v>
      </c>
    </row>
    <row r="12" spans="1:97" x14ac:dyDescent="0.35">
      <c r="A12" s="1" t="s">
        <v>113</v>
      </c>
      <c r="B12" s="1">
        <v>8</v>
      </c>
      <c r="C12" s="1">
        <v>8</v>
      </c>
      <c r="D12" s="1">
        <v>0</v>
      </c>
      <c r="M12" s="1">
        <v>0</v>
      </c>
      <c r="N12" s="1">
        <v>8</v>
      </c>
      <c r="O12" s="1">
        <v>8</v>
      </c>
      <c r="P12" s="1">
        <v>5</v>
      </c>
      <c r="AC12" s="1">
        <v>17.4864538</v>
      </c>
      <c r="AO12" s="1">
        <v>17.473674500000001</v>
      </c>
      <c r="AP12" s="1">
        <v>17.4864538</v>
      </c>
      <c r="AQ12" s="1">
        <v>18.471961499999999</v>
      </c>
      <c r="AR12" s="1">
        <v>18.472030799999999</v>
      </c>
      <c r="AS12" s="1">
        <v>18.486732</v>
      </c>
      <c r="AT12" s="1">
        <v>18.970647599999999</v>
      </c>
      <c r="CL12" s="1">
        <v>8</v>
      </c>
      <c r="CM12" s="1">
        <v>1</v>
      </c>
      <c r="CN12" s="1" t="s">
        <v>156</v>
      </c>
      <c r="CO12" s="1" t="s">
        <v>99</v>
      </c>
      <c r="CQ12" s="1" t="s">
        <v>100</v>
      </c>
      <c r="CR12" s="1">
        <v>59.939425219999997</v>
      </c>
      <c r="CS12" s="1" t="s">
        <v>157</v>
      </c>
    </row>
    <row r="13" spans="1:97" x14ac:dyDescent="0.35">
      <c r="A13" s="1" t="s">
        <v>112</v>
      </c>
      <c r="B13" s="1">
        <v>9</v>
      </c>
      <c r="C13" s="1">
        <v>9</v>
      </c>
      <c r="D13" s="1">
        <v>0</v>
      </c>
      <c r="M13" s="1">
        <v>0</v>
      </c>
      <c r="N13" s="1">
        <v>9</v>
      </c>
      <c r="O13" s="1">
        <v>9</v>
      </c>
      <c r="P13" s="1">
        <v>6</v>
      </c>
      <c r="AC13" s="1">
        <v>18.986810699999999</v>
      </c>
      <c r="AO13" s="1">
        <v>18.9779731</v>
      </c>
      <c r="AP13" s="1">
        <v>18.986810699999999</v>
      </c>
      <c r="AQ13" s="1">
        <v>19.970079200000001</v>
      </c>
      <c r="AR13" s="1">
        <v>19.970122199999999</v>
      </c>
      <c r="AS13" s="1">
        <v>19.986650699999998</v>
      </c>
      <c r="AT13" s="1">
        <v>20.469971399999999</v>
      </c>
      <c r="CL13" s="1">
        <v>8</v>
      </c>
      <c r="CM13" s="1">
        <v>1</v>
      </c>
      <c r="CN13" s="1" t="s">
        <v>156</v>
      </c>
      <c r="CO13" s="1" t="s">
        <v>99</v>
      </c>
      <c r="CQ13" s="1" t="s">
        <v>100</v>
      </c>
      <c r="CR13" s="1">
        <v>59.939425219999997</v>
      </c>
      <c r="CS13" s="1" t="s">
        <v>157</v>
      </c>
    </row>
    <row r="14" spans="1:97" x14ac:dyDescent="0.35">
      <c r="B14" s="1">
        <v>0</v>
      </c>
      <c r="C14" s="1">
        <v>0</v>
      </c>
      <c r="D14" s="1">
        <v>0</v>
      </c>
      <c r="E14" s="1" t="s">
        <v>121</v>
      </c>
      <c r="Q14" s="1">
        <v>0</v>
      </c>
      <c r="R14" s="1">
        <v>0</v>
      </c>
      <c r="S14" s="1">
        <v>0</v>
      </c>
      <c r="T14" s="1">
        <v>3</v>
      </c>
      <c r="AC14" s="1">
        <v>20.4864316</v>
      </c>
      <c r="AR14" s="1">
        <v>21.4699019</v>
      </c>
      <c r="AS14" s="1">
        <v>21.4863137</v>
      </c>
      <c r="AT14" s="1">
        <v>21.9699323</v>
      </c>
      <c r="AU14" s="1">
        <v>20.478718099999998</v>
      </c>
      <c r="AV14" s="1">
        <v>20.4864316</v>
      </c>
      <c r="AW14" s="1">
        <v>21.4698685</v>
      </c>
      <c r="CL14" s="1">
        <v>8</v>
      </c>
      <c r="CM14" s="1">
        <v>1</v>
      </c>
      <c r="CN14" s="1" t="s">
        <v>156</v>
      </c>
      <c r="CO14" s="1" t="s">
        <v>99</v>
      </c>
      <c r="CQ14" s="1" t="s">
        <v>100</v>
      </c>
      <c r="CR14" s="1">
        <v>59.939425219999997</v>
      </c>
      <c r="CS14" s="1" t="s">
        <v>157</v>
      </c>
    </row>
    <row r="15" spans="1:97" x14ac:dyDescent="0.35">
      <c r="B15" s="1">
        <v>1</v>
      </c>
      <c r="C15" s="1">
        <v>1</v>
      </c>
      <c r="D15" s="1">
        <v>0</v>
      </c>
      <c r="E15" s="1" t="s">
        <v>115</v>
      </c>
      <c r="Q15" s="1">
        <v>0</v>
      </c>
      <c r="R15" s="1">
        <v>1</v>
      </c>
      <c r="S15" s="1">
        <v>1</v>
      </c>
      <c r="T15" s="1">
        <v>7</v>
      </c>
      <c r="AC15" s="1">
        <v>21.9862599</v>
      </c>
      <c r="AR15" s="1">
        <v>22.970172699999999</v>
      </c>
      <c r="AS15" s="1">
        <v>22.986569800000002</v>
      </c>
      <c r="AT15" s="1">
        <v>23.469989600000002</v>
      </c>
      <c r="AU15" s="1">
        <v>21.9731062</v>
      </c>
      <c r="AV15" s="1">
        <v>21.9862599</v>
      </c>
      <c r="AW15" s="1">
        <v>22.970116099999998</v>
      </c>
      <c r="CL15" s="1">
        <v>8</v>
      </c>
      <c r="CM15" s="1">
        <v>1</v>
      </c>
      <c r="CN15" s="1" t="s">
        <v>156</v>
      </c>
      <c r="CO15" s="1" t="s">
        <v>99</v>
      </c>
      <c r="CQ15" s="1" t="s">
        <v>100</v>
      </c>
      <c r="CR15" s="1">
        <v>59.939425219999997</v>
      </c>
      <c r="CS15" s="1" t="s">
        <v>157</v>
      </c>
    </row>
    <row r="16" spans="1:97" x14ac:dyDescent="0.35">
      <c r="B16" s="1">
        <v>2</v>
      </c>
      <c r="C16" s="1">
        <v>2</v>
      </c>
      <c r="D16" s="1">
        <v>0</v>
      </c>
      <c r="E16" s="1" t="s">
        <v>122</v>
      </c>
      <c r="Q16" s="1">
        <v>0</v>
      </c>
      <c r="R16" s="1">
        <v>2</v>
      </c>
      <c r="S16" s="1">
        <v>2</v>
      </c>
      <c r="T16" s="1">
        <v>8</v>
      </c>
      <c r="AC16" s="1">
        <v>23.486354800000001</v>
      </c>
      <c r="AR16" s="1">
        <v>24.470288400000001</v>
      </c>
      <c r="AS16" s="1">
        <v>24.486539499999999</v>
      </c>
      <c r="AT16" s="1">
        <v>24.969995900000001</v>
      </c>
      <c r="AU16" s="1">
        <v>23.472298500000001</v>
      </c>
      <c r="AV16" s="1">
        <v>23.486354800000001</v>
      </c>
      <c r="AW16" s="1">
        <v>24.470212400000001</v>
      </c>
      <c r="CL16" s="1">
        <v>8</v>
      </c>
      <c r="CM16" s="1">
        <v>1</v>
      </c>
      <c r="CN16" s="1" t="s">
        <v>156</v>
      </c>
      <c r="CO16" s="1" t="s">
        <v>99</v>
      </c>
      <c r="CQ16" s="1" t="s">
        <v>100</v>
      </c>
      <c r="CR16" s="1">
        <v>59.939425219999997</v>
      </c>
      <c r="CS16" s="1" t="s">
        <v>157</v>
      </c>
    </row>
    <row r="17" spans="2:97" x14ac:dyDescent="0.35">
      <c r="B17" s="1">
        <v>3</v>
      </c>
      <c r="C17" s="1">
        <v>3</v>
      </c>
      <c r="D17" s="1">
        <v>0</v>
      </c>
      <c r="E17" s="1" t="s">
        <v>116</v>
      </c>
      <c r="Q17" s="1">
        <v>0</v>
      </c>
      <c r="R17" s="1">
        <v>3</v>
      </c>
      <c r="S17" s="1">
        <v>3</v>
      </c>
      <c r="T17" s="1">
        <v>0</v>
      </c>
      <c r="AC17" s="1">
        <v>24.986362100000001</v>
      </c>
      <c r="AR17" s="1">
        <v>25.9700807</v>
      </c>
      <c r="AS17" s="1">
        <v>25.986539799999999</v>
      </c>
      <c r="AT17" s="1">
        <v>26.4701539</v>
      </c>
      <c r="AU17" s="1">
        <v>24.972701499999999</v>
      </c>
      <c r="AV17" s="1">
        <v>24.986362100000001</v>
      </c>
      <c r="AW17" s="1">
        <v>25.970029799999999</v>
      </c>
      <c r="CL17" s="1">
        <v>8</v>
      </c>
      <c r="CM17" s="1">
        <v>1</v>
      </c>
      <c r="CN17" s="1" t="s">
        <v>156</v>
      </c>
      <c r="CO17" s="1" t="s">
        <v>99</v>
      </c>
      <c r="CQ17" s="1" t="s">
        <v>100</v>
      </c>
      <c r="CR17" s="1">
        <v>59.939425219999997</v>
      </c>
      <c r="CS17" s="1" t="s">
        <v>157</v>
      </c>
    </row>
    <row r="18" spans="2:97" x14ac:dyDescent="0.35">
      <c r="B18" s="1">
        <v>4</v>
      </c>
      <c r="C18" s="1">
        <v>4</v>
      </c>
      <c r="D18" s="1">
        <v>0</v>
      </c>
      <c r="E18" s="1" t="s">
        <v>123</v>
      </c>
      <c r="Q18" s="1">
        <v>0</v>
      </c>
      <c r="R18" s="1">
        <v>4</v>
      </c>
      <c r="S18" s="1">
        <v>4</v>
      </c>
      <c r="T18" s="1">
        <v>2</v>
      </c>
      <c r="AC18" s="1">
        <v>26.486452799999999</v>
      </c>
      <c r="AR18" s="1">
        <v>27.470290299999998</v>
      </c>
      <c r="AS18" s="1">
        <v>27.486514199999998</v>
      </c>
      <c r="AT18" s="1">
        <v>27.971046399999999</v>
      </c>
      <c r="AU18" s="1">
        <v>26.473083899999999</v>
      </c>
      <c r="AV18" s="1">
        <v>26.486452799999999</v>
      </c>
      <c r="AW18" s="1">
        <v>27.4702491</v>
      </c>
      <c r="CL18" s="1">
        <v>8</v>
      </c>
      <c r="CM18" s="1">
        <v>1</v>
      </c>
      <c r="CN18" s="1" t="s">
        <v>156</v>
      </c>
      <c r="CO18" s="1" t="s">
        <v>99</v>
      </c>
      <c r="CQ18" s="1" t="s">
        <v>100</v>
      </c>
      <c r="CR18" s="1">
        <v>59.939425219999997</v>
      </c>
      <c r="CS18" s="1" t="s">
        <v>157</v>
      </c>
    </row>
    <row r="19" spans="2:97" x14ac:dyDescent="0.35">
      <c r="B19" s="1">
        <v>5</v>
      </c>
      <c r="C19" s="1">
        <v>5</v>
      </c>
      <c r="D19" s="1">
        <v>0</v>
      </c>
      <c r="E19" s="1" t="s">
        <v>117</v>
      </c>
      <c r="Q19" s="1">
        <v>0</v>
      </c>
      <c r="R19" s="1">
        <v>5</v>
      </c>
      <c r="S19" s="1">
        <v>5</v>
      </c>
      <c r="T19" s="1">
        <v>1</v>
      </c>
      <c r="AC19" s="1">
        <v>27.986301399999999</v>
      </c>
      <c r="AR19" s="1">
        <v>28.970031200000001</v>
      </c>
      <c r="AS19" s="1">
        <v>28.986614800000002</v>
      </c>
      <c r="AT19" s="1">
        <v>29.469907899999999</v>
      </c>
      <c r="AU19" s="1">
        <v>27.9744022</v>
      </c>
      <c r="AV19" s="1">
        <v>27.986301399999999</v>
      </c>
      <c r="AW19" s="1">
        <v>28.96998</v>
      </c>
      <c r="CL19" s="1">
        <v>8</v>
      </c>
      <c r="CM19" s="1">
        <v>1</v>
      </c>
      <c r="CN19" s="1" t="s">
        <v>156</v>
      </c>
      <c r="CO19" s="1" t="s">
        <v>99</v>
      </c>
      <c r="CQ19" s="1" t="s">
        <v>100</v>
      </c>
      <c r="CR19" s="1">
        <v>59.939425219999997</v>
      </c>
      <c r="CS19" s="1" t="s">
        <v>157</v>
      </c>
    </row>
    <row r="20" spans="2:97" x14ac:dyDescent="0.35">
      <c r="B20" s="1">
        <v>6</v>
      </c>
      <c r="C20" s="1">
        <v>6</v>
      </c>
      <c r="D20" s="1">
        <v>0</v>
      </c>
      <c r="E20" s="1" t="s">
        <v>120</v>
      </c>
      <c r="Q20" s="1">
        <v>0</v>
      </c>
      <c r="R20" s="1">
        <v>6</v>
      </c>
      <c r="S20" s="1">
        <v>6</v>
      </c>
      <c r="T20" s="1">
        <v>4</v>
      </c>
      <c r="AC20" s="1">
        <v>29.486433699999999</v>
      </c>
      <c r="AR20" s="1">
        <v>30.4700411</v>
      </c>
      <c r="AS20" s="1">
        <v>30.486356499999999</v>
      </c>
      <c r="AT20" s="1">
        <v>30.970154999999998</v>
      </c>
      <c r="AU20" s="1">
        <v>29.474450699999998</v>
      </c>
      <c r="AV20" s="1">
        <v>29.486433699999999</v>
      </c>
      <c r="AW20" s="1">
        <v>30.470001</v>
      </c>
      <c r="CL20" s="1">
        <v>8</v>
      </c>
      <c r="CM20" s="1">
        <v>1</v>
      </c>
      <c r="CN20" s="1" t="s">
        <v>156</v>
      </c>
      <c r="CO20" s="1" t="s">
        <v>99</v>
      </c>
      <c r="CQ20" s="1" t="s">
        <v>100</v>
      </c>
      <c r="CR20" s="1">
        <v>59.939425219999997</v>
      </c>
      <c r="CS20" s="1" t="s">
        <v>157</v>
      </c>
    </row>
    <row r="21" spans="2:97" x14ac:dyDescent="0.35">
      <c r="B21" s="1">
        <v>7</v>
      </c>
      <c r="C21" s="1">
        <v>7</v>
      </c>
      <c r="D21" s="1">
        <v>0</v>
      </c>
      <c r="E21" s="1" t="s">
        <v>118</v>
      </c>
      <c r="Q21" s="1">
        <v>0</v>
      </c>
      <c r="R21" s="1">
        <v>7</v>
      </c>
      <c r="S21" s="1">
        <v>7</v>
      </c>
      <c r="T21" s="1">
        <v>6</v>
      </c>
      <c r="AC21" s="1">
        <v>30.986523099999999</v>
      </c>
      <c r="AR21" s="1">
        <v>31.9700442</v>
      </c>
      <c r="AS21" s="1">
        <v>31.986276</v>
      </c>
      <c r="AT21" s="1">
        <v>32.469629900000001</v>
      </c>
      <c r="AU21" s="1">
        <v>30.975716599999998</v>
      </c>
      <c r="AV21" s="1">
        <v>30.986523099999999</v>
      </c>
      <c r="AW21" s="1">
        <v>31.969982600000002</v>
      </c>
      <c r="CL21" s="1">
        <v>8</v>
      </c>
      <c r="CM21" s="1">
        <v>1</v>
      </c>
      <c r="CN21" s="1" t="s">
        <v>156</v>
      </c>
      <c r="CO21" s="1" t="s">
        <v>99</v>
      </c>
      <c r="CQ21" s="1" t="s">
        <v>100</v>
      </c>
      <c r="CR21" s="1">
        <v>59.939425219999997</v>
      </c>
      <c r="CS21" s="1" t="s">
        <v>157</v>
      </c>
    </row>
    <row r="22" spans="2:97" x14ac:dyDescent="0.35">
      <c r="B22" s="1">
        <v>8</v>
      </c>
      <c r="C22" s="1">
        <v>8</v>
      </c>
      <c r="D22" s="1">
        <v>0</v>
      </c>
      <c r="E22" s="1" t="s">
        <v>114</v>
      </c>
      <c r="Q22" s="1">
        <v>0</v>
      </c>
      <c r="R22" s="1">
        <v>8</v>
      </c>
      <c r="S22" s="1">
        <v>8</v>
      </c>
      <c r="T22" s="1">
        <v>5</v>
      </c>
      <c r="AC22" s="1">
        <v>32.4862088</v>
      </c>
      <c r="AR22" s="1">
        <v>33.470081</v>
      </c>
      <c r="AS22" s="1">
        <v>33.486553200000003</v>
      </c>
      <c r="AT22" s="1">
        <v>33.969917500000001</v>
      </c>
      <c r="AU22" s="1">
        <v>32.473671699999997</v>
      </c>
      <c r="AV22" s="1">
        <v>32.4862088</v>
      </c>
      <c r="AW22" s="1">
        <v>33.470029699999998</v>
      </c>
      <c r="CL22" s="1">
        <v>8</v>
      </c>
      <c r="CM22" s="1">
        <v>1</v>
      </c>
      <c r="CN22" s="1" t="s">
        <v>156</v>
      </c>
      <c r="CO22" s="1" t="s">
        <v>99</v>
      </c>
      <c r="CQ22" s="1" t="s">
        <v>100</v>
      </c>
      <c r="CR22" s="1">
        <v>59.939425219999997</v>
      </c>
      <c r="CS22" s="1" t="s">
        <v>157</v>
      </c>
    </row>
    <row r="23" spans="2:97" x14ac:dyDescent="0.35">
      <c r="B23" s="1">
        <v>9</v>
      </c>
      <c r="C23" s="1">
        <v>9</v>
      </c>
      <c r="D23" s="1">
        <v>0</v>
      </c>
      <c r="E23" s="1" t="s">
        <v>119</v>
      </c>
      <c r="Q23" s="1">
        <v>0</v>
      </c>
      <c r="R23" s="1">
        <v>9</v>
      </c>
      <c r="S23" s="1">
        <v>9</v>
      </c>
      <c r="T23" s="1">
        <v>9</v>
      </c>
      <c r="AC23" s="1">
        <v>33.986277200000004</v>
      </c>
      <c r="AR23" s="1">
        <v>34.970135399999997</v>
      </c>
      <c r="AS23" s="1">
        <v>34.986286300000003</v>
      </c>
      <c r="AT23" s="1">
        <v>35.469668599999999</v>
      </c>
      <c r="AU23" s="1">
        <v>33.9739565</v>
      </c>
      <c r="AV23" s="1">
        <v>33.986277200000004</v>
      </c>
      <c r="AW23" s="1">
        <v>34.970070100000001</v>
      </c>
      <c r="CL23" s="1">
        <v>8</v>
      </c>
      <c r="CM23" s="1">
        <v>1</v>
      </c>
      <c r="CN23" s="1" t="s">
        <v>156</v>
      </c>
      <c r="CO23" s="1" t="s">
        <v>99</v>
      </c>
      <c r="CQ23" s="1" t="s">
        <v>100</v>
      </c>
      <c r="CR23" s="1">
        <v>59.939425219999997</v>
      </c>
      <c r="CS23" s="1" t="s">
        <v>157</v>
      </c>
    </row>
    <row r="24" spans="2:97" x14ac:dyDescent="0.35">
      <c r="B24" s="1">
        <v>0</v>
      </c>
      <c r="C24" s="1">
        <v>0</v>
      </c>
      <c r="D24" s="1">
        <v>0</v>
      </c>
      <c r="F24" s="1" t="s">
        <v>132</v>
      </c>
      <c r="U24" s="1">
        <v>0</v>
      </c>
      <c r="V24" s="1">
        <v>0</v>
      </c>
      <c r="W24" s="1">
        <v>0</v>
      </c>
      <c r="X24" s="1">
        <v>9</v>
      </c>
      <c r="AC24" s="1">
        <v>35.486207200000003</v>
      </c>
      <c r="AR24" s="1">
        <v>36.469512700000003</v>
      </c>
      <c r="AS24" s="1">
        <v>36.4859747</v>
      </c>
      <c r="AT24" s="1">
        <v>36.969357199999997</v>
      </c>
      <c r="AX24" s="1">
        <v>35.478675699999997</v>
      </c>
      <c r="AY24" s="1">
        <v>35.486207200000003</v>
      </c>
      <c r="AZ24" s="1">
        <v>36.469450199999997</v>
      </c>
      <c r="CL24" s="1">
        <v>8</v>
      </c>
      <c r="CM24" s="1">
        <v>1</v>
      </c>
      <c r="CN24" s="1" t="s">
        <v>156</v>
      </c>
      <c r="CO24" s="1" t="s">
        <v>99</v>
      </c>
      <c r="CQ24" s="1" t="s">
        <v>100</v>
      </c>
      <c r="CR24" s="1">
        <v>59.939425219999997</v>
      </c>
      <c r="CS24" s="1" t="s">
        <v>157</v>
      </c>
    </row>
    <row r="25" spans="2:97" x14ac:dyDescent="0.35">
      <c r="B25" s="1">
        <v>1</v>
      </c>
      <c r="C25" s="1">
        <v>1</v>
      </c>
      <c r="D25" s="1">
        <v>0</v>
      </c>
      <c r="F25" s="1" t="s">
        <v>130</v>
      </c>
      <c r="U25" s="1">
        <v>0</v>
      </c>
      <c r="V25" s="1">
        <v>1</v>
      </c>
      <c r="W25" s="1">
        <v>1</v>
      </c>
      <c r="X25" s="1">
        <v>3</v>
      </c>
      <c r="AC25" s="1">
        <v>37.076891400000001</v>
      </c>
      <c r="AR25" s="1">
        <v>37.9693915</v>
      </c>
      <c r="AS25" s="1">
        <v>37.985875399999998</v>
      </c>
      <c r="AT25" s="1">
        <v>38.469335000000001</v>
      </c>
      <c r="AX25" s="1">
        <v>37.074593499999999</v>
      </c>
      <c r="AY25" s="1">
        <v>37.076891400000001</v>
      </c>
      <c r="AZ25" s="1">
        <v>37.969352399999998</v>
      </c>
      <c r="CL25" s="1">
        <v>8</v>
      </c>
      <c r="CM25" s="1">
        <v>1</v>
      </c>
      <c r="CN25" s="1" t="s">
        <v>156</v>
      </c>
      <c r="CO25" s="1" t="s">
        <v>99</v>
      </c>
      <c r="CQ25" s="1" t="s">
        <v>100</v>
      </c>
      <c r="CR25" s="1">
        <v>59.939425219999997</v>
      </c>
      <c r="CS25" s="1" t="s">
        <v>157</v>
      </c>
    </row>
    <row r="26" spans="2:97" x14ac:dyDescent="0.35">
      <c r="B26" s="1">
        <v>2</v>
      </c>
      <c r="C26" s="1">
        <v>2</v>
      </c>
      <c r="D26" s="1">
        <v>0</v>
      </c>
      <c r="F26" s="1" t="s">
        <v>133</v>
      </c>
      <c r="U26" s="1">
        <v>0</v>
      </c>
      <c r="V26" s="1">
        <v>2</v>
      </c>
      <c r="W26" s="1">
        <v>2</v>
      </c>
      <c r="X26" s="1">
        <v>1</v>
      </c>
      <c r="AC26" s="1">
        <v>38.485833</v>
      </c>
      <c r="AR26" s="1">
        <v>39.470346800000002</v>
      </c>
      <c r="AS26" s="1">
        <v>39.486493699999997</v>
      </c>
      <c r="AT26" s="1">
        <v>39.969529000000001</v>
      </c>
      <c r="AX26" s="1">
        <v>38.471463</v>
      </c>
      <c r="AY26" s="1">
        <v>38.485833</v>
      </c>
      <c r="AZ26" s="1">
        <v>39.470248900000001</v>
      </c>
      <c r="CL26" s="1">
        <v>8</v>
      </c>
      <c r="CM26" s="1">
        <v>1</v>
      </c>
      <c r="CN26" s="1" t="s">
        <v>156</v>
      </c>
      <c r="CO26" s="1" t="s">
        <v>99</v>
      </c>
      <c r="CQ26" s="1" t="s">
        <v>100</v>
      </c>
      <c r="CR26" s="1">
        <v>59.939425219999997</v>
      </c>
      <c r="CS26" s="1" t="s">
        <v>157</v>
      </c>
    </row>
    <row r="27" spans="2:97" x14ac:dyDescent="0.35">
      <c r="B27" s="1">
        <v>3</v>
      </c>
      <c r="C27" s="1">
        <v>3</v>
      </c>
      <c r="D27" s="1">
        <v>0</v>
      </c>
      <c r="F27" s="1" t="s">
        <v>124</v>
      </c>
      <c r="U27" s="1">
        <v>0</v>
      </c>
      <c r="V27" s="1">
        <v>3</v>
      </c>
      <c r="W27" s="1">
        <v>3</v>
      </c>
      <c r="X27" s="1">
        <v>7</v>
      </c>
      <c r="AC27" s="1">
        <v>39.986111399999999</v>
      </c>
      <c r="AR27" s="1">
        <v>40.969533200000001</v>
      </c>
      <c r="AS27" s="1">
        <v>40.986096500000002</v>
      </c>
      <c r="AT27" s="1">
        <v>41.469595300000002</v>
      </c>
      <c r="AX27" s="1">
        <v>39.972838099999997</v>
      </c>
      <c r="AY27" s="1">
        <v>39.986111399999999</v>
      </c>
      <c r="AZ27" s="1">
        <v>40.969471300000002</v>
      </c>
      <c r="CL27" s="1">
        <v>8</v>
      </c>
      <c r="CM27" s="1">
        <v>1</v>
      </c>
      <c r="CN27" s="1" t="s">
        <v>156</v>
      </c>
      <c r="CO27" s="1" t="s">
        <v>99</v>
      </c>
      <c r="CQ27" s="1" t="s">
        <v>100</v>
      </c>
      <c r="CR27" s="1">
        <v>59.939425219999997</v>
      </c>
      <c r="CS27" s="1" t="s">
        <v>157</v>
      </c>
    </row>
    <row r="28" spans="2:97" x14ac:dyDescent="0.35">
      <c r="B28" s="1">
        <v>4</v>
      </c>
      <c r="C28" s="1">
        <v>4</v>
      </c>
      <c r="D28" s="1">
        <v>0</v>
      </c>
      <c r="F28" s="1" t="s">
        <v>128</v>
      </c>
      <c r="U28" s="1">
        <v>0</v>
      </c>
      <c r="V28" s="1">
        <v>4</v>
      </c>
      <c r="W28" s="1">
        <v>4</v>
      </c>
      <c r="X28" s="1">
        <v>6</v>
      </c>
      <c r="AC28" s="1">
        <v>41.485982800000002</v>
      </c>
      <c r="AR28" s="1">
        <v>42.469406300000003</v>
      </c>
      <c r="AS28" s="1">
        <v>42.4858811</v>
      </c>
      <c r="AT28" s="1">
        <v>42.970008200000002</v>
      </c>
      <c r="AX28" s="1">
        <v>41.472380200000003</v>
      </c>
      <c r="AY28" s="1">
        <v>41.485982800000002</v>
      </c>
      <c r="AZ28" s="1">
        <v>42.469372200000002</v>
      </c>
      <c r="CL28" s="1">
        <v>8</v>
      </c>
      <c r="CM28" s="1">
        <v>1</v>
      </c>
      <c r="CN28" s="1" t="s">
        <v>156</v>
      </c>
      <c r="CO28" s="1" t="s">
        <v>99</v>
      </c>
      <c r="CQ28" s="1" t="s">
        <v>100</v>
      </c>
      <c r="CR28" s="1">
        <v>59.939425219999997</v>
      </c>
      <c r="CS28" s="1" t="s">
        <v>157</v>
      </c>
    </row>
    <row r="29" spans="2:97" x14ac:dyDescent="0.35">
      <c r="B29" s="1">
        <v>5</v>
      </c>
      <c r="C29" s="1">
        <v>5</v>
      </c>
      <c r="D29" s="1">
        <v>0</v>
      </c>
      <c r="F29" s="1" t="s">
        <v>129</v>
      </c>
      <c r="U29" s="1">
        <v>0</v>
      </c>
      <c r="V29" s="1">
        <v>5</v>
      </c>
      <c r="W29" s="1">
        <v>5</v>
      </c>
      <c r="X29" s="1">
        <v>0</v>
      </c>
      <c r="AC29" s="1">
        <v>42.986956399999997</v>
      </c>
      <c r="AR29" s="1">
        <v>43.969279200000003</v>
      </c>
      <c r="AS29" s="1">
        <v>43.9860136</v>
      </c>
      <c r="AT29" s="1">
        <v>44.4693203</v>
      </c>
      <c r="AX29" s="1">
        <v>42.974214600000003</v>
      </c>
      <c r="AY29" s="1">
        <v>42.986956399999997</v>
      </c>
      <c r="AZ29" s="1">
        <v>43.9692425</v>
      </c>
      <c r="CL29" s="1">
        <v>8</v>
      </c>
      <c r="CM29" s="1">
        <v>1</v>
      </c>
      <c r="CN29" s="1" t="s">
        <v>156</v>
      </c>
      <c r="CO29" s="1" t="s">
        <v>99</v>
      </c>
      <c r="CQ29" s="1" t="s">
        <v>100</v>
      </c>
      <c r="CR29" s="1">
        <v>59.939425219999997</v>
      </c>
      <c r="CS29" s="1" t="s">
        <v>157</v>
      </c>
    </row>
    <row r="30" spans="2:97" x14ac:dyDescent="0.35">
      <c r="B30" s="1">
        <v>6</v>
      </c>
      <c r="C30" s="1">
        <v>6</v>
      </c>
      <c r="D30" s="1">
        <v>0</v>
      </c>
      <c r="F30" s="1" t="s">
        <v>126</v>
      </c>
      <c r="U30" s="1">
        <v>0</v>
      </c>
      <c r="V30" s="1">
        <v>6</v>
      </c>
      <c r="W30" s="1">
        <v>6</v>
      </c>
      <c r="X30" s="1">
        <v>4</v>
      </c>
      <c r="AC30" s="1">
        <v>44.485909200000002</v>
      </c>
      <c r="AR30" s="1">
        <v>45.469926800000003</v>
      </c>
      <c r="AS30" s="1">
        <v>45.4861814</v>
      </c>
      <c r="AT30" s="1">
        <v>45.969383000000001</v>
      </c>
      <c r="AX30" s="1">
        <v>44.471291200000003</v>
      </c>
      <c r="AY30" s="1">
        <v>44.485909200000002</v>
      </c>
      <c r="AZ30" s="1">
        <v>45.469772800000001</v>
      </c>
      <c r="CL30" s="1">
        <v>8</v>
      </c>
      <c r="CM30" s="1">
        <v>1</v>
      </c>
      <c r="CN30" s="1" t="s">
        <v>156</v>
      </c>
      <c r="CO30" s="1" t="s">
        <v>99</v>
      </c>
      <c r="CQ30" s="1" t="s">
        <v>100</v>
      </c>
      <c r="CR30" s="1">
        <v>59.939425219999997</v>
      </c>
      <c r="CS30" s="1" t="s">
        <v>157</v>
      </c>
    </row>
    <row r="31" spans="2:97" x14ac:dyDescent="0.35">
      <c r="B31" s="1">
        <v>7</v>
      </c>
      <c r="C31" s="1">
        <v>7</v>
      </c>
      <c r="D31" s="1">
        <v>0</v>
      </c>
      <c r="F31" s="1" t="s">
        <v>125</v>
      </c>
      <c r="U31" s="1">
        <v>0</v>
      </c>
      <c r="V31" s="1">
        <v>7</v>
      </c>
      <c r="W31" s="1">
        <v>7</v>
      </c>
      <c r="X31" s="1">
        <v>8</v>
      </c>
      <c r="AC31" s="1">
        <v>45.9863073</v>
      </c>
      <c r="AR31" s="1">
        <v>46.969640099999999</v>
      </c>
      <c r="AS31" s="1">
        <v>46.986090500000003</v>
      </c>
      <c r="AT31" s="1">
        <v>47.469467100000003</v>
      </c>
      <c r="AX31" s="1">
        <v>45.972016400000001</v>
      </c>
      <c r="AY31" s="1">
        <v>45.9863073</v>
      </c>
      <c r="AZ31" s="1">
        <v>46.969596099999997</v>
      </c>
      <c r="CL31" s="1">
        <v>8</v>
      </c>
      <c r="CM31" s="1">
        <v>1</v>
      </c>
      <c r="CN31" s="1" t="s">
        <v>156</v>
      </c>
      <c r="CO31" s="1" t="s">
        <v>99</v>
      </c>
      <c r="CQ31" s="1" t="s">
        <v>100</v>
      </c>
      <c r="CR31" s="1">
        <v>59.939425219999997</v>
      </c>
      <c r="CS31" s="1" t="s">
        <v>157</v>
      </c>
    </row>
    <row r="32" spans="2:97" x14ac:dyDescent="0.35">
      <c r="B32" s="1">
        <v>8</v>
      </c>
      <c r="C32" s="1">
        <v>8</v>
      </c>
      <c r="D32" s="1">
        <v>0</v>
      </c>
      <c r="F32" s="1" t="s">
        <v>131</v>
      </c>
      <c r="U32" s="1">
        <v>0</v>
      </c>
      <c r="V32" s="1">
        <v>8</v>
      </c>
      <c r="W32" s="1">
        <v>8</v>
      </c>
      <c r="X32" s="1">
        <v>2</v>
      </c>
      <c r="AC32" s="1">
        <v>47.486039599999998</v>
      </c>
      <c r="AR32" s="1">
        <v>48.4696377</v>
      </c>
      <c r="AS32" s="1">
        <v>48.486105100000003</v>
      </c>
      <c r="AT32" s="1">
        <v>48.9694334</v>
      </c>
      <c r="AX32" s="1">
        <v>47.473490200000001</v>
      </c>
      <c r="AY32" s="1">
        <v>47.486039599999998</v>
      </c>
      <c r="AZ32" s="1">
        <v>48.4696067</v>
      </c>
      <c r="CL32" s="1">
        <v>8</v>
      </c>
      <c r="CM32" s="1">
        <v>1</v>
      </c>
      <c r="CN32" s="1" t="s">
        <v>156</v>
      </c>
      <c r="CO32" s="1" t="s">
        <v>99</v>
      </c>
      <c r="CQ32" s="1" t="s">
        <v>100</v>
      </c>
      <c r="CR32" s="1">
        <v>59.939425219999997</v>
      </c>
      <c r="CS32" s="1" t="s">
        <v>157</v>
      </c>
    </row>
    <row r="33" spans="2:97" x14ac:dyDescent="0.35">
      <c r="B33" s="1">
        <v>9</v>
      </c>
      <c r="C33" s="1">
        <v>9</v>
      </c>
      <c r="D33" s="1">
        <v>0</v>
      </c>
      <c r="F33" s="1" t="s">
        <v>127</v>
      </c>
      <c r="U33" s="1">
        <v>0</v>
      </c>
      <c r="V33" s="1">
        <v>9</v>
      </c>
      <c r="W33" s="1">
        <v>9</v>
      </c>
      <c r="X33" s="1">
        <v>5</v>
      </c>
      <c r="AC33" s="1">
        <v>48.985947799999998</v>
      </c>
      <c r="AR33" s="1">
        <v>49.969502300000002</v>
      </c>
      <c r="AS33" s="1">
        <v>49.985950299999999</v>
      </c>
      <c r="AT33" s="1">
        <v>50.4696116</v>
      </c>
      <c r="AX33" s="1">
        <v>48.971920500000003</v>
      </c>
      <c r="AY33" s="1">
        <v>48.985947799999998</v>
      </c>
      <c r="AZ33" s="1">
        <v>49.969459000000001</v>
      </c>
      <c r="CL33" s="1">
        <v>8</v>
      </c>
      <c r="CM33" s="1">
        <v>1</v>
      </c>
      <c r="CN33" s="1" t="s">
        <v>156</v>
      </c>
      <c r="CO33" s="1" t="s">
        <v>99</v>
      </c>
      <c r="CQ33" s="1" t="s">
        <v>100</v>
      </c>
      <c r="CR33" s="1">
        <v>59.939425219999997</v>
      </c>
      <c r="CS33" s="1" t="s">
        <v>157</v>
      </c>
    </row>
    <row r="34" spans="2:97" x14ac:dyDescent="0.35">
      <c r="BA34" s="1">
        <v>50.4697204</v>
      </c>
      <c r="BB34" s="1">
        <v>50.485885400000001</v>
      </c>
      <c r="BC34" s="1">
        <v>50.485885400000001</v>
      </c>
      <c r="BD34" s="1">
        <v>52.286467799999997</v>
      </c>
      <c r="BE34" s="1" t="s">
        <v>102</v>
      </c>
      <c r="BF34" s="1">
        <v>1.7919137999999999</v>
      </c>
      <c r="BG34" s="1" t="s">
        <v>103</v>
      </c>
      <c r="CL34" s="1">
        <v>8</v>
      </c>
      <c r="CM34" s="1">
        <v>1</v>
      </c>
      <c r="CN34" s="1" t="s">
        <v>156</v>
      </c>
      <c r="CO34" s="1" t="s">
        <v>99</v>
      </c>
      <c r="CQ34" s="1" t="s">
        <v>100</v>
      </c>
      <c r="CR34" s="1">
        <v>59.939425219999997</v>
      </c>
      <c r="CS34" s="1" t="s">
        <v>157</v>
      </c>
    </row>
    <row r="35" spans="2:97" x14ac:dyDescent="0.35">
      <c r="BH35" s="1">
        <v>52.286517000000003</v>
      </c>
      <c r="BI35" s="1">
        <v>52.302639999999997</v>
      </c>
      <c r="BJ35" s="1">
        <v>52.302639999999997</v>
      </c>
      <c r="BK35" s="1">
        <v>54.552824600000001</v>
      </c>
      <c r="BL35" s="1">
        <v>3</v>
      </c>
      <c r="BM35" s="1">
        <v>2.2425687999999999</v>
      </c>
      <c r="BN35" s="1" t="s">
        <v>103</v>
      </c>
      <c r="CL35" s="1">
        <v>8</v>
      </c>
      <c r="CM35" s="1">
        <v>1</v>
      </c>
      <c r="CN35" s="1" t="s">
        <v>156</v>
      </c>
      <c r="CO35" s="1" t="s">
        <v>99</v>
      </c>
      <c r="CQ35" s="1" t="s">
        <v>100</v>
      </c>
      <c r="CR35" s="1">
        <v>59.939425219999997</v>
      </c>
      <c r="CS35" s="1" t="s">
        <v>157</v>
      </c>
    </row>
    <row r="36" spans="2:97" x14ac:dyDescent="0.35">
      <c r="BO36" s="1">
        <v>54.552865300000001</v>
      </c>
      <c r="BP36" s="1">
        <v>54.569338000000002</v>
      </c>
      <c r="BQ36" s="1">
        <v>54.569338000000002</v>
      </c>
      <c r="BR36" s="1">
        <v>57.3697047</v>
      </c>
      <c r="BS36" s="1" t="s">
        <v>102</v>
      </c>
      <c r="BT36" s="1">
        <v>2.7878425</v>
      </c>
      <c r="BU36" s="1" t="s">
        <v>103</v>
      </c>
      <c r="CL36" s="1">
        <v>8</v>
      </c>
      <c r="CM36" s="1">
        <v>1</v>
      </c>
      <c r="CN36" s="1" t="s">
        <v>156</v>
      </c>
      <c r="CO36" s="1" t="s">
        <v>99</v>
      </c>
      <c r="CQ36" s="1" t="s">
        <v>100</v>
      </c>
      <c r="CR36" s="1">
        <v>59.939425219999997</v>
      </c>
      <c r="CS36" s="1" t="s">
        <v>157</v>
      </c>
    </row>
    <row r="37" spans="2:97" x14ac:dyDescent="0.35">
      <c r="B37" s="1">
        <v>0</v>
      </c>
      <c r="C37" s="1">
        <v>0</v>
      </c>
      <c r="D37" s="1">
        <v>0</v>
      </c>
      <c r="G37" s="1" t="s">
        <v>139</v>
      </c>
      <c r="H37" s="1" t="s">
        <v>136</v>
      </c>
      <c r="I37" s="1" t="s">
        <v>136</v>
      </c>
      <c r="J37" s="1">
        <v>1</v>
      </c>
      <c r="K37" s="1">
        <v>1.7637430999999999</v>
      </c>
      <c r="L37" s="1" t="s">
        <v>103</v>
      </c>
      <c r="Y37" s="1">
        <v>0</v>
      </c>
      <c r="Z37" s="1">
        <v>0</v>
      </c>
      <c r="AA37" s="1">
        <v>0</v>
      </c>
      <c r="AB37" s="1">
        <v>9</v>
      </c>
      <c r="AC37" s="1">
        <v>57.389695400000001</v>
      </c>
      <c r="AR37" s="1">
        <v>59.170470000000002</v>
      </c>
      <c r="AS37" s="1">
        <v>59.186264600000001</v>
      </c>
      <c r="AT37" s="1">
        <v>59.6701701</v>
      </c>
      <c r="BV37" s="1">
        <v>57.386950400000003</v>
      </c>
      <c r="BW37" s="1">
        <v>57.389695400000001</v>
      </c>
      <c r="BX37" s="1">
        <v>57.389695400000001</v>
      </c>
      <c r="BY37" s="1">
        <v>59.170298500000001</v>
      </c>
      <c r="BZ37" s="1" t="s">
        <v>136</v>
      </c>
      <c r="CA37" s="1">
        <v>1</v>
      </c>
      <c r="CB37" s="1">
        <v>1.7637430999999999</v>
      </c>
      <c r="CC37" s="1" t="s">
        <v>103</v>
      </c>
      <c r="CD37" s="1">
        <v>59.686637900000001</v>
      </c>
      <c r="CL37" s="1">
        <v>8</v>
      </c>
      <c r="CM37" s="1">
        <v>1</v>
      </c>
      <c r="CN37" s="1" t="s">
        <v>156</v>
      </c>
      <c r="CO37" s="1" t="s">
        <v>99</v>
      </c>
      <c r="CQ37" s="1" t="s">
        <v>100</v>
      </c>
      <c r="CR37" s="1">
        <v>59.939425219999997</v>
      </c>
      <c r="CS37" s="1" t="s">
        <v>157</v>
      </c>
    </row>
    <row r="38" spans="2:97" x14ac:dyDescent="0.35">
      <c r="B38" s="1">
        <v>1</v>
      </c>
      <c r="C38" s="1">
        <v>1</v>
      </c>
      <c r="D38" s="1">
        <v>0</v>
      </c>
      <c r="G38" s="1" t="s">
        <v>129</v>
      </c>
      <c r="H38" s="1" t="s">
        <v>134</v>
      </c>
      <c r="I38" s="1" t="s">
        <v>134</v>
      </c>
      <c r="J38" s="1">
        <v>1</v>
      </c>
      <c r="K38" s="1">
        <v>0.66805570000000003</v>
      </c>
      <c r="L38" s="1" t="s">
        <v>103</v>
      </c>
      <c r="Y38" s="1">
        <v>0</v>
      </c>
      <c r="Z38" s="1">
        <v>1</v>
      </c>
      <c r="AA38" s="1">
        <v>1</v>
      </c>
      <c r="AB38" s="1">
        <v>5</v>
      </c>
      <c r="AC38" s="1">
        <v>59.686637900000001</v>
      </c>
      <c r="AR38" s="1">
        <v>60.3696056</v>
      </c>
      <c r="AS38" s="1">
        <v>60.385794799999999</v>
      </c>
      <c r="AT38" s="1">
        <v>60.8700501</v>
      </c>
      <c r="BV38" s="1">
        <v>59.674332499999998</v>
      </c>
      <c r="BW38" s="1">
        <v>59.686637900000001</v>
      </c>
      <c r="BX38" s="1">
        <v>59.686637900000001</v>
      </c>
      <c r="BY38" s="1">
        <v>60.369539600000003</v>
      </c>
      <c r="BZ38" s="1" t="s">
        <v>134</v>
      </c>
      <c r="CA38" s="1">
        <v>1</v>
      </c>
      <c r="CB38" s="1">
        <v>0.66805570000000003</v>
      </c>
      <c r="CC38" s="1" t="s">
        <v>103</v>
      </c>
      <c r="CL38" s="1">
        <v>8</v>
      </c>
      <c r="CM38" s="1">
        <v>1</v>
      </c>
      <c r="CN38" s="1" t="s">
        <v>156</v>
      </c>
      <c r="CO38" s="1" t="s">
        <v>99</v>
      </c>
      <c r="CQ38" s="1" t="s">
        <v>100</v>
      </c>
      <c r="CR38" s="1">
        <v>59.939425219999997</v>
      </c>
      <c r="CS38" s="1" t="s">
        <v>157</v>
      </c>
    </row>
    <row r="39" spans="2:97" x14ac:dyDescent="0.35">
      <c r="B39" s="1">
        <v>2</v>
      </c>
      <c r="C39" s="1">
        <v>2</v>
      </c>
      <c r="D39" s="1">
        <v>0</v>
      </c>
      <c r="G39" s="1" t="s">
        <v>130</v>
      </c>
      <c r="H39" s="1" t="s">
        <v>134</v>
      </c>
      <c r="I39" s="1" t="s">
        <v>134</v>
      </c>
      <c r="J39" s="1">
        <v>1</v>
      </c>
      <c r="K39" s="1">
        <v>1.8114406000000001</v>
      </c>
      <c r="L39" s="1" t="s">
        <v>103</v>
      </c>
      <c r="Y39" s="1">
        <v>0</v>
      </c>
      <c r="Z39" s="1">
        <v>2</v>
      </c>
      <c r="AA39" s="1">
        <v>2</v>
      </c>
      <c r="AB39" s="1">
        <v>6</v>
      </c>
      <c r="AC39" s="1">
        <v>60.886122299999997</v>
      </c>
      <c r="AR39" s="1">
        <v>62.7028356</v>
      </c>
      <c r="AS39" s="1">
        <v>62.7192364</v>
      </c>
      <c r="AT39" s="1">
        <v>63.202728399999998</v>
      </c>
      <c r="BV39" s="1">
        <v>60.874265600000001</v>
      </c>
      <c r="BW39" s="1">
        <v>60.886122299999997</v>
      </c>
      <c r="BX39" s="1">
        <v>60.886122299999997</v>
      </c>
      <c r="BY39" s="1">
        <v>62.702785900000002</v>
      </c>
      <c r="BZ39" s="1" t="s">
        <v>134</v>
      </c>
      <c r="CA39" s="1">
        <v>1</v>
      </c>
      <c r="CB39" s="1">
        <v>1.8114406000000001</v>
      </c>
      <c r="CC39" s="1" t="s">
        <v>103</v>
      </c>
      <c r="CD39" s="1">
        <v>63.219076399999999</v>
      </c>
      <c r="CL39" s="1">
        <v>8</v>
      </c>
      <c r="CM39" s="1">
        <v>1</v>
      </c>
      <c r="CN39" s="1" t="s">
        <v>156</v>
      </c>
      <c r="CO39" s="1" t="s">
        <v>99</v>
      </c>
      <c r="CQ39" s="1" t="s">
        <v>100</v>
      </c>
      <c r="CR39" s="1">
        <v>59.939425219999997</v>
      </c>
      <c r="CS39" s="1" t="s">
        <v>157</v>
      </c>
    </row>
    <row r="40" spans="2:97" x14ac:dyDescent="0.35">
      <c r="B40" s="1">
        <v>3</v>
      </c>
      <c r="C40" s="1">
        <v>3</v>
      </c>
      <c r="D40" s="1">
        <v>0</v>
      </c>
      <c r="G40" s="1" t="s">
        <v>106</v>
      </c>
      <c r="H40" s="1" t="s">
        <v>134</v>
      </c>
      <c r="I40" s="1" t="s">
        <v>134</v>
      </c>
      <c r="J40" s="1">
        <v>1</v>
      </c>
      <c r="K40" s="1">
        <v>1.0295825999999999</v>
      </c>
      <c r="L40" s="1" t="s">
        <v>103</v>
      </c>
      <c r="Y40" s="1">
        <v>0</v>
      </c>
      <c r="Z40" s="1">
        <v>3</v>
      </c>
      <c r="AA40" s="1">
        <v>3</v>
      </c>
      <c r="AB40" s="1">
        <v>3</v>
      </c>
      <c r="AC40" s="1">
        <v>63.219076399999999</v>
      </c>
      <c r="AR40" s="1">
        <v>64.252646499999997</v>
      </c>
      <c r="AS40" s="1">
        <v>64.269154400000005</v>
      </c>
      <c r="AT40" s="1">
        <v>64.752645400000006</v>
      </c>
      <c r="BV40" s="1">
        <v>63.2048901</v>
      </c>
      <c r="BW40" s="1">
        <v>63.219076399999999</v>
      </c>
      <c r="BX40" s="1">
        <v>63.219076399999999</v>
      </c>
      <c r="BY40" s="1">
        <v>64.252592399999997</v>
      </c>
      <c r="BZ40" s="1" t="s">
        <v>134</v>
      </c>
      <c r="CA40" s="1">
        <v>1</v>
      </c>
      <c r="CB40" s="1">
        <v>1.0295825999999999</v>
      </c>
      <c r="CC40" s="1" t="s">
        <v>103</v>
      </c>
      <c r="CD40" s="1">
        <v>64.769015800000005</v>
      </c>
      <c r="CL40" s="1">
        <v>8</v>
      </c>
      <c r="CM40" s="1">
        <v>1</v>
      </c>
      <c r="CN40" s="1" t="s">
        <v>156</v>
      </c>
      <c r="CO40" s="1" t="s">
        <v>99</v>
      </c>
      <c r="CQ40" s="1" t="s">
        <v>100</v>
      </c>
      <c r="CR40" s="1">
        <v>59.939425219999997</v>
      </c>
      <c r="CS40" s="1" t="s">
        <v>157</v>
      </c>
    </row>
    <row r="41" spans="2:97" x14ac:dyDescent="0.35">
      <c r="B41" s="1">
        <v>4</v>
      </c>
      <c r="C41" s="1">
        <v>4</v>
      </c>
      <c r="D41" s="1">
        <v>0</v>
      </c>
      <c r="G41" s="1" t="s">
        <v>138</v>
      </c>
      <c r="H41" s="1" t="s">
        <v>136</v>
      </c>
      <c r="I41" s="1" t="s">
        <v>134</v>
      </c>
      <c r="J41" s="1">
        <v>0</v>
      </c>
      <c r="K41" s="1">
        <v>0.66493720000000001</v>
      </c>
      <c r="L41" s="1" t="s">
        <v>103</v>
      </c>
      <c r="Y41" s="1">
        <v>0</v>
      </c>
      <c r="Z41" s="1">
        <v>4</v>
      </c>
      <c r="AA41" s="1">
        <v>4</v>
      </c>
      <c r="AB41" s="1">
        <v>0</v>
      </c>
      <c r="AC41" s="1">
        <v>64.769015800000005</v>
      </c>
      <c r="AR41" s="1">
        <v>65.436124100000001</v>
      </c>
      <c r="AS41" s="1">
        <v>65.452364299999999</v>
      </c>
      <c r="AT41" s="1">
        <v>65.936374999999998</v>
      </c>
      <c r="BV41" s="1">
        <v>64.755289300000001</v>
      </c>
      <c r="BW41" s="1">
        <v>64.769015800000005</v>
      </c>
      <c r="BX41" s="1">
        <v>64.769015800000005</v>
      </c>
      <c r="BY41" s="1">
        <v>65.436060600000005</v>
      </c>
      <c r="BZ41" s="1" t="s">
        <v>134</v>
      </c>
      <c r="CA41" s="1">
        <v>0</v>
      </c>
      <c r="CB41" s="1">
        <v>0.66493720000000001</v>
      </c>
      <c r="CC41" s="1" t="s">
        <v>103</v>
      </c>
      <c r="CL41" s="1">
        <v>8</v>
      </c>
      <c r="CM41" s="1">
        <v>1</v>
      </c>
      <c r="CN41" s="1" t="s">
        <v>156</v>
      </c>
      <c r="CO41" s="1" t="s">
        <v>99</v>
      </c>
      <c r="CQ41" s="1" t="s">
        <v>100</v>
      </c>
      <c r="CR41" s="1">
        <v>59.939425219999997</v>
      </c>
      <c r="CS41" s="1" t="s">
        <v>157</v>
      </c>
    </row>
    <row r="42" spans="2:97" x14ac:dyDescent="0.35">
      <c r="B42" s="1">
        <v>5</v>
      </c>
      <c r="C42" s="1">
        <v>5</v>
      </c>
      <c r="D42" s="1">
        <v>0</v>
      </c>
      <c r="G42" s="1" t="s">
        <v>116</v>
      </c>
      <c r="H42" s="1" t="s">
        <v>134</v>
      </c>
      <c r="I42" s="1" t="s">
        <v>136</v>
      </c>
      <c r="J42" s="1">
        <v>0</v>
      </c>
      <c r="K42" s="1">
        <v>0.90555010000000002</v>
      </c>
      <c r="L42" s="1" t="s">
        <v>103</v>
      </c>
      <c r="Y42" s="1">
        <v>0</v>
      </c>
      <c r="Z42" s="1">
        <v>5</v>
      </c>
      <c r="AA42" s="1">
        <v>5</v>
      </c>
      <c r="AB42" s="1">
        <v>4</v>
      </c>
      <c r="AC42" s="1">
        <v>65.952622599999998</v>
      </c>
      <c r="AR42" s="1">
        <v>66.870221900000004</v>
      </c>
      <c r="AS42" s="1">
        <v>66.885855500000005</v>
      </c>
      <c r="AT42" s="1">
        <v>67.369577699999994</v>
      </c>
      <c r="BV42" s="1">
        <v>65.939424299999999</v>
      </c>
      <c r="BW42" s="1">
        <v>65.952622599999998</v>
      </c>
      <c r="BX42" s="1">
        <v>65.952622599999998</v>
      </c>
      <c r="BY42" s="1">
        <v>66.870100399999998</v>
      </c>
      <c r="BZ42" s="1" t="s">
        <v>136</v>
      </c>
      <c r="CA42" s="1">
        <v>0</v>
      </c>
      <c r="CB42" s="1">
        <v>0.90555010000000002</v>
      </c>
      <c r="CC42" s="1" t="s">
        <v>103</v>
      </c>
      <c r="CD42" s="1">
        <v>67.385871600000002</v>
      </c>
      <c r="CL42" s="1">
        <v>8</v>
      </c>
      <c r="CM42" s="1">
        <v>1</v>
      </c>
      <c r="CN42" s="1" t="s">
        <v>156</v>
      </c>
      <c r="CO42" s="1" t="s">
        <v>99</v>
      </c>
      <c r="CQ42" s="1" t="s">
        <v>100</v>
      </c>
      <c r="CR42" s="1">
        <v>59.939425219999997</v>
      </c>
      <c r="CS42" s="1" t="s">
        <v>157</v>
      </c>
    </row>
    <row r="43" spans="2:97" x14ac:dyDescent="0.35">
      <c r="B43" s="1">
        <v>6</v>
      </c>
      <c r="C43" s="1">
        <v>6</v>
      </c>
      <c r="D43" s="1">
        <v>0</v>
      </c>
      <c r="G43" s="1" t="s">
        <v>137</v>
      </c>
      <c r="H43" s="1" t="s">
        <v>136</v>
      </c>
      <c r="I43" s="1" t="s">
        <v>136</v>
      </c>
      <c r="J43" s="1">
        <v>1</v>
      </c>
      <c r="K43" s="1">
        <v>1.3411131000000001</v>
      </c>
      <c r="L43" s="1" t="s">
        <v>103</v>
      </c>
      <c r="Y43" s="1">
        <v>0</v>
      </c>
      <c r="Z43" s="1">
        <v>6</v>
      </c>
      <c r="AA43" s="1">
        <v>6</v>
      </c>
      <c r="AB43" s="1">
        <v>7</v>
      </c>
      <c r="AC43" s="1">
        <v>67.385871600000002</v>
      </c>
      <c r="AR43" s="1">
        <v>68.736555199999998</v>
      </c>
      <c r="AS43" s="1">
        <v>68.753134799999998</v>
      </c>
      <c r="AT43" s="1">
        <v>69.236727799999997</v>
      </c>
      <c r="BV43" s="1">
        <v>67.371613699999997</v>
      </c>
      <c r="BW43" s="1">
        <v>67.385871600000002</v>
      </c>
      <c r="BX43" s="1">
        <v>67.385871600000002</v>
      </c>
      <c r="BY43" s="1">
        <v>68.736502700000003</v>
      </c>
      <c r="BZ43" s="1" t="s">
        <v>136</v>
      </c>
      <c r="CA43" s="1">
        <v>1</v>
      </c>
      <c r="CB43" s="1">
        <v>1.3411131000000001</v>
      </c>
      <c r="CC43" s="1" t="s">
        <v>103</v>
      </c>
      <c r="CD43" s="1">
        <v>69.253340699999995</v>
      </c>
      <c r="CL43" s="1">
        <v>8</v>
      </c>
      <c r="CM43" s="1">
        <v>1</v>
      </c>
      <c r="CN43" s="1" t="s">
        <v>156</v>
      </c>
      <c r="CO43" s="1" t="s">
        <v>99</v>
      </c>
      <c r="CQ43" s="1" t="s">
        <v>100</v>
      </c>
      <c r="CR43" s="1">
        <v>59.939425219999997</v>
      </c>
      <c r="CS43" s="1" t="s">
        <v>157</v>
      </c>
    </row>
    <row r="44" spans="2:97" x14ac:dyDescent="0.35">
      <c r="B44" s="1">
        <v>7</v>
      </c>
      <c r="C44" s="1">
        <v>7</v>
      </c>
      <c r="D44" s="1">
        <v>0</v>
      </c>
      <c r="G44" s="1" t="s">
        <v>140</v>
      </c>
      <c r="H44" s="1" t="s">
        <v>136</v>
      </c>
      <c r="I44" s="1" t="s">
        <v>134</v>
      </c>
      <c r="J44" s="1">
        <v>0</v>
      </c>
      <c r="K44" s="1">
        <v>0.78182510000000005</v>
      </c>
      <c r="L44" s="1" t="s">
        <v>103</v>
      </c>
      <c r="Y44" s="1">
        <v>0</v>
      </c>
      <c r="Z44" s="1">
        <v>7</v>
      </c>
      <c r="AA44" s="1">
        <v>7</v>
      </c>
      <c r="AB44" s="1">
        <v>2</v>
      </c>
      <c r="AC44" s="1">
        <v>69.253340699999995</v>
      </c>
      <c r="AR44" s="1">
        <v>70.036179399999995</v>
      </c>
      <c r="AS44" s="1">
        <v>70.052179199999998</v>
      </c>
      <c r="AT44" s="1">
        <v>70.537292399999998</v>
      </c>
      <c r="BV44" s="1">
        <v>69.240733199999994</v>
      </c>
      <c r="BW44" s="1">
        <v>69.253340699999995</v>
      </c>
      <c r="BX44" s="1">
        <v>69.253340699999995</v>
      </c>
      <c r="BY44" s="1">
        <v>70.036109999999994</v>
      </c>
      <c r="BZ44" s="1" t="s">
        <v>134</v>
      </c>
      <c r="CA44" s="1">
        <v>0</v>
      </c>
      <c r="CB44" s="1">
        <v>0.78182510000000005</v>
      </c>
      <c r="CC44" s="1" t="s">
        <v>103</v>
      </c>
      <c r="CL44" s="1">
        <v>8</v>
      </c>
      <c r="CM44" s="1">
        <v>1</v>
      </c>
      <c r="CN44" s="1" t="s">
        <v>156</v>
      </c>
      <c r="CO44" s="1" t="s">
        <v>99</v>
      </c>
      <c r="CQ44" s="1" t="s">
        <v>100</v>
      </c>
      <c r="CR44" s="1">
        <v>59.939425219999997</v>
      </c>
      <c r="CS44" s="1" t="s">
        <v>157</v>
      </c>
    </row>
    <row r="45" spans="2:97" x14ac:dyDescent="0.35">
      <c r="B45" s="1">
        <v>8</v>
      </c>
      <c r="C45" s="1">
        <v>8</v>
      </c>
      <c r="D45" s="1">
        <v>0</v>
      </c>
      <c r="G45" s="1" t="s">
        <v>135</v>
      </c>
      <c r="H45" s="1" t="s">
        <v>136</v>
      </c>
      <c r="I45" s="1" t="s">
        <v>136</v>
      </c>
      <c r="J45" s="1">
        <v>1</v>
      </c>
      <c r="K45" s="1">
        <v>1.0433446</v>
      </c>
      <c r="L45" s="1" t="s">
        <v>103</v>
      </c>
      <c r="Y45" s="1">
        <v>0</v>
      </c>
      <c r="Z45" s="1">
        <v>8</v>
      </c>
      <c r="AA45" s="1">
        <v>8</v>
      </c>
      <c r="AB45" s="1">
        <v>8</v>
      </c>
      <c r="AC45" s="1">
        <v>70.553076200000007</v>
      </c>
      <c r="AR45" s="1">
        <v>71.604277699999997</v>
      </c>
      <c r="AS45" s="1">
        <v>71.619817400000002</v>
      </c>
      <c r="AT45" s="1">
        <v>72.104067599999993</v>
      </c>
      <c r="BV45" s="1">
        <v>70.542377799999997</v>
      </c>
      <c r="BW45" s="1">
        <v>70.553076200000007</v>
      </c>
      <c r="BX45" s="1">
        <v>70.553076200000007</v>
      </c>
      <c r="BY45" s="1">
        <v>71.604127199999994</v>
      </c>
      <c r="BZ45" s="1" t="s">
        <v>136</v>
      </c>
      <c r="CA45" s="1">
        <v>1</v>
      </c>
      <c r="CB45" s="1">
        <v>1.0433446</v>
      </c>
      <c r="CC45" s="1" t="s">
        <v>103</v>
      </c>
      <c r="CD45" s="1">
        <v>72.119878200000002</v>
      </c>
      <c r="CL45" s="1">
        <v>8</v>
      </c>
      <c r="CM45" s="1">
        <v>1</v>
      </c>
      <c r="CN45" s="1" t="s">
        <v>156</v>
      </c>
      <c r="CO45" s="1" t="s">
        <v>99</v>
      </c>
      <c r="CQ45" s="1" t="s">
        <v>100</v>
      </c>
      <c r="CR45" s="1">
        <v>59.939425219999997</v>
      </c>
      <c r="CS45" s="1" t="s">
        <v>157</v>
      </c>
    </row>
    <row r="46" spans="2:97" x14ac:dyDescent="0.35">
      <c r="B46" s="1">
        <v>9</v>
      </c>
      <c r="C46" s="1">
        <v>9</v>
      </c>
      <c r="D46" s="1">
        <v>0</v>
      </c>
      <c r="G46" s="1" t="s">
        <v>141</v>
      </c>
      <c r="H46" s="1" t="s">
        <v>136</v>
      </c>
      <c r="I46" s="1" t="s">
        <v>134</v>
      </c>
      <c r="J46" s="1">
        <v>0</v>
      </c>
      <c r="K46" s="1">
        <v>0.7857999</v>
      </c>
      <c r="L46" s="1" t="s">
        <v>103</v>
      </c>
      <c r="Y46" s="1">
        <v>0</v>
      </c>
      <c r="Z46" s="1">
        <v>9</v>
      </c>
      <c r="AA46" s="1">
        <v>9</v>
      </c>
      <c r="AB46" s="1">
        <v>1</v>
      </c>
      <c r="AC46" s="1">
        <v>72.119878200000002</v>
      </c>
      <c r="AR46" s="1">
        <v>72.921060100000005</v>
      </c>
      <c r="AS46" s="1">
        <v>72.935936999999996</v>
      </c>
      <c r="AT46" s="1">
        <v>73.420164799999995</v>
      </c>
      <c r="BV46" s="1">
        <v>72.108468299999998</v>
      </c>
      <c r="BW46" s="1">
        <v>72.119878200000002</v>
      </c>
      <c r="BX46" s="1">
        <v>72.119878200000002</v>
      </c>
      <c r="BY46" s="1">
        <v>72.920850700000003</v>
      </c>
      <c r="BZ46" s="1" t="s">
        <v>134</v>
      </c>
      <c r="CA46" s="1">
        <v>0</v>
      </c>
      <c r="CB46" s="1">
        <v>0.7857999</v>
      </c>
      <c r="CC46" s="1" t="s">
        <v>103</v>
      </c>
      <c r="CD46" s="1">
        <v>73.436380999999997</v>
      </c>
      <c r="CL46" s="1">
        <v>8</v>
      </c>
      <c r="CM46" s="1">
        <v>1</v>
      </c>
      <c r="CN46" s="1" t="s">
        <v>156</v>
      </c>
      <c r="CO46" s="1" t="s">
        <v>99</v>
      </c>
      <c r="CQ46" s="1" t="s">
        <v>100</v>
      </c>
      <c r="CR46" s="1">
        <v>59.939425219999997</v>
      </c>
      <c r="CS46" s="1" t="s">
        <v>157</v>
      </c>
    </row>
    <row r="47" spans="2:97" x14ac:dyDescent="0.35">
      <c r="CE47" s="1">
        <v>73.420403699999994</v>
      </c>
      <c r="CF47" s="1">
        <v>73.436380999999997</v>
      </c>
      <c r="CG47" s="1">
        <v>73.436380999999997</v>
      </c>
      <c r="CH47" s="1">
        <v>74.836831900000007</v>
      </c>
      <c r="CI47" s="1" t="s">
        <v>102</v>
      </c>
      <c r="CJ47" s="1">
        <v>1.3976919999999999</v>
      </c>
      <c r="CK47" s="1" t="s">
        <v>103</v>
      </c>
      <c r="CL47" s="1">
        <v>8</v>
      </c>
      <c r="CM47" s="1">
        <v>1</v>
      </c>
      <c r="CN47" s="1" t="s">
        <v>156</v>
      </c>
      <c r="CO47" s="1" t="s">
        <v>99</v>
      </c>
      <c r="CQ47" s="1" t="s">
        <v>100</v>
      </c>
      <c r="CR47" s="1">
        <v>59.939425219999997</v>
      </c>
      <c r="CS47" s="1" t="s">
        <v>157</v>
      </c>
    </row>
    <row r="49" spans="10:11" x14ac:dyDescent="0.35">
      <c r="J49" s="2">
        <f>AVERAGE(J37:J46)</f>
        <v>0.6</v>
      </c>
      <c r="K49" s="2">
        <f>AVERAGE(K37:K46)</f>
        <v>1.0795391999999999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D17997-C3DE-40A3-B202-4DB06CD304A8}">
  <dimension ref="A1:CT49"/>
  <sheetViews>
    <sheetView topLeftCell="C34" zoomScale="109" workbookViewId="0">
      <selection activeCell="J44" sqref="J44"/>
    </sheetView>
  </sheetViews>
  <sheetFormatPr defaultRowHeight="14.5" x14ac:dyDescent="0.35"/>
  <cols>
    <col min="1" max="16384" width="8.7265625" style="1"/>
  </cols>
  <sheetData>
    <row r="1" spans="1:9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</row>
    <row r="2" spans="1:98" x14ac:dyDescent="0.35">
      <c r="AE2" s="1">
        <v>1.8377999999999999E-3</v>
      </c>
      <c r="AF2" s="1">
        <v>4.5132999999999996E-3</v>
      </c>
      <c r="AG2" s="1">
        <v>3.0122732999999999</v>
      </c>
      <c r="AH2" s="1">
        <v>2.9967898000000002</v>
      </c>
      <c r="CM2" s="1">
        <v>8</v>
      </c>
      <c r="CN2" s="1">
        <v>1</v>
      </c>
      <c r="CO2" s="1" t="s">
        <v>158</v>
      </c>
      <c r="CP2" s="1" t="s">
        <v>99</v>
      </c>
      <c r="CR2" s="1" t="s">
        <v>100</v>
      </c>
      <c r="CS2" s="1">
        <v>59.998944020000003</v>
      </c>
      <c r="CT2" s="1" t="s">
        <v>159</v>
      </c>
    </row>
    <row r="3" spans="1:98" x14ac:dyDescent="0.35">
      <c r="AI3" s="1">
        <v>2.9968765999999998</v>
      </c>
      <c r="AJ3" s="1">
        <v>3.0122732999999999</v>
      </c>
      <c r="AK3" s="1">
        <v>3.0122732999999999</v>
      </c>
      <c r="AL3" s="1">
        <v>4.2715553999999996</v>
      </c>
      <c r="AM3" s="1" t="s">
        <v>102</v>
      </c>
      <c r="AN3" s="1">
        <v>1.2461457</v>
      </c>
      <c r="AO3" s="1" t="s">
        <v>103</v>
      </c>
      <c r="CM3" s="1">
        <v>8</v>
      </c>
      <c r="CN3" s="1">
        <v>1</v>
      </c>
      <c r="CO3" s="1" t="s">
        <v>158</v>
      </c>
      <c r="CP3" s="1" t="s">
        <v>99</v>
      </c>
      <c r="CR3" s="1" t="s">
        <v>100</v>
      </c>
      <c r="CS3" s="1">
        <v>59.998944020000003</v>
      </c>
      <c r="CT3" s="1" t="s">
        <v>159</v>
      </c>
    </row>
    <row r="4" spans="1:98" x14ac:dyDescent="0.35">
      <c r="A4" s="1" t="s">
        <v>113</v>
      </c>
      <c r="B4" s="1">
        <v>0</v>
      </c>
      <c r="C4" s="1">
        <v>0</v>
      </c>
      <c r="D4" s="1">
        <v>0</v>
      </c>
      <c r="M4" s="1">
        <v>0</v>
      </c>
      <c r="N4" s="1">
        <v>0</v>
      </c>
      <c r="O4" s="1">
        <v>0</v>
      </c>
      <c r="P4" s="1">
        <v>5</v>
      </c>
      <c r="AC4" s="1">
        <v>4.2821549000000001</v>
      </c>
      <c r="AP4" s="1">
        <v>4.2793511000000004</v>
      </c>
      <c r="AQ4" s="1">
        <v>4.2821549000000001</v>
      </c>
      <c r="AR4" s="1">
        <v>5.2794299000000002</v>
      </c>
      <c r="AS4" s="1">
        <v>5.2794740000000004</v>
      </c>
      <c r="AT4" s="1">
        <v>5.2953548000000001</v>
      </c>
      <c r="AU4" s="1">
        <v>5.7785978</v>
      </c>
      <c r="CM4" s="1">
        <v>8</v>
      </c>
      <c r="CN4" s="1">
        <v>1</v>
      </c>
      <c r="CO4" s="1" t="s">
        <v>158</v>
      </c>
      <c r="CP4" s="1" t="s">
        <v>99</v>
      </c>
      <c r="CR4" s="1" t="s">
        <v>100</v>
      </c>
      <c r="CS4" s="1">
        <v>59.998944020000003</v>
      </c>
      <c r="CT4" s="1" t="s">
        <v>159</v>
      </c>
    </row>
    <row r="5" spans="1:98" x14ac:dyDescent="0.35">
      <c r="A5" s="1" t="s">
        <v>111</v>
      </c>
      <c r="B5" s="1">
        <v>1</v>
      </c>
      <c r="C5" s="1">
        <v>1</v>
      </c>
      <c r="D5" s="1">
        <v>0</v>
      </c>
      <c r="M5" s="1">
        <v>0</v>
      </c>
      <c r="N5" s="1">
        <v>1</v>
      </c>
      <c r="O5" s="1">
        <v>1</v>
      </c>
      <c r="P5" s="1">
        <v>3</v>
      </c>
      <c r="AC5" s="1">
        <v>5.7955139999999998</v>
      </c>
      <c r="AP5" s="1">
        <v>5.7810952000000002</v>
      </c>
      <c r="AQ5" s="1">
        <v>5.7955139999999998</v>
      </c>
      <c r="AR5" s="1">
        <v>6.7796342999999997</v>
      </c>
      <c r="AS5" s="1">
        <v>6.7797090000000004</v>
      </c>
      <c r="AT5" s="1">
        <v>6.7957349999999996</v>
      </c>
      <c r="AU5" s="1">
        <v>7.2797869000000004</v>
      </c>
      <c r="CM5" s="1">
        <v>8</v>
      </c>
      <c r="CN5" s="1">
        <v>1</v>
      </c>
      <c r="CO5" s="1" t="s">
        <v>158</v>
      </c>
      <c r="CP5" s="1" t="s">
        <v>99</v>
      </c>
      <c r="CR5" s="1" t="s">
        <v>100</v>
      </c>
      <c r="CS5" s="1">
        <v>59.998944020000003</v>
      </c>
      <c r="CT5" s="1" t="s">
        <v>159</v>
      </c>
    </row>
    <row r="6" spans="1:98" x14ac:dyDescent="0.35">
      <c r="A6" s="1" t="s">
        <v>110</v>
      </c>
      <c r="B6" s="1">
        <v>2</v>
      </c>
      <c r="C6" s="1">
        <v>2</v>
      </c>
      <c r="D6" s="1">
        <v>0</v>
      </c>
      <c r="M6" s="1">
        <v>0</v>
      </c>
      <c r="N6" s="1">
        <v>2</v>
      </c>
      <c r="O6" s="1">
        <v>2</v>
      </c>
      <c r="P6" s="1">
        <v>7</v>
      </c>
      <c r="AC6" s="1">
        <v>7.2956371999999998</v>
      </c>
      <c r="AP6" s="1">
        <v>7.2844616999999996</v>
      </c>
      <c r="AQ6" s="1">
        <v>7.2956371999999998</v>
      </c>
      <c r="AR6" s="1">
        <v>8.2790073</v>
      </c>
      <c r="AS6" s="1">
        <v>8.2790684999999993</v>
      </c>
      <c r="AT6" s="1">
        <v>8.2954346000000001</v>
      </c>
      <c r="AU6" s="1">
        <v>8.7787244999999992</v>
      </c>
      <c r="CM6" s="1">
        <v>8</v>
      </c>
      <c r="CN6" s="1">
        <v>1</v>
      </c>
      <c r="CO6" s="1" t="s">
        <v>158</v>
      </c>
      <c r="CP6" s="1" t="s">
        <v>99</v>
      </c>
      <c r="CR6" s="1" t="s">
        <v>100</v>
      </c>
      <c r="CS6" s="1">
        <v>59.998944020000003</v>
      </c>
      <c r="CT6" s="1" t="s">
        <v>159</v>
      </c>
    </row>
    <row r="7" spans="1:98" x14ac:dyDescent="0.35">
      <c r="A7" s="1" t="s">
        <v>104</v>
      </c>
      <c r="B7" s="1">
        <v>3</v>
      </c>
      <c r="C7" s="1">
        <v>3</v>
      </c>
      <c r="D7" s="1">
        <v>0</v>
      </c>
      <c r="M7" s="1">
        <v>0</v>
      </c>
      <c r="N7" s="1">
        <v>3</v>
      </c>
      <c r="O7" s="1">
        <v>3</v>
      </c>
      <c r="P7" s="1">
        <v>2</v>
      </c>
      <c r="AC7" s="1">
        <v>8.7952177999999996</v>
      </c>
      <c r="AP7" s="1">
        <v>8.7814458000000002</v>
      </c>
      <c r="AQ7" s="1">
        <v>8.7952177999999996</v>
      </c>
      <c r="AR7" s="1">
        <v>9.7793977999999999</v>
      </c>
      <c r="AS7" s="1">
        <v>9.7794735999999993</v>
      </c>
      <c r="AT7" s="1">
        <v>9.7960781000000008</v>
      </c>
      <c r="AU7" s="1">
        <v>10.279548200000001</v>
      </c>
      <c r="CM7" s="1">
        <v>8</v>
      </c>
      <c r="CN7" s="1">
        <v>1</v>
      </c>
      <c r="CO7" s="1" t="s">
        <v>158</v>
      </c>
      <c r="CP7" s="1" t="s">
        <v>99</v>
      </c>
      <c r="CR7" s="1" t="s">
        <v>100</v>
      </c>
      <c r="CS7" s="1">
        <v>59.998944020000003</v>
      </c>
      <c r="CT7" s="1" t="s">
        <v>159</v>
      </c>
    </row>
    <row r="8" spans="1:98" x14ac:dyDescent="0.35">
      <c r="A8" s="1" t="s">
        <v>105</v>
      </c>
      <c r="B8" s="1">
        <v>4</v>
      </c>
      <c r="C8" s="1">
        <v>4</v>
      </c>
      <c r="D8" s="1">
        <v>0</v>
      </c>
      <c r="M8" s="1">
        <v>0</v>
      </c>
      <c r="N8" s="1">
        <v>4</v>
      </c>
      <c r="O8" s="1">
        <v>4</v>
      </c>
      <c r="P8" s="1">
        <v>1</v>
      </c>
      <c r="AC8" s="1">
        <v>10.2956723</v>
      </c>
      <c r="AP8" s="1">
        <v>10.2845105</v>
      </c>
      <c r="AQ8" s="1">
        <v>10.2956723</v>
      </c>
      <c r="AR8" s="1">
        <v>11.279798</v>
      </c>
      <c r="AS8" s="1">
        <v>11.279883099999999</v>
      </c>
      <c r="AT8" s="1">
        <v>11.2956042</v>
      </c>
      <c r="AU8" s="1">
        <v>11.7793162</v>
      </c>
      <c r="CM8" s="1">
        <v>8</v>
      </c>
      <c r="CN8" s="1">
        <v>1</v>
      </c>
      <c r="CO8" s="1" t="s">
        <v>158</v>
      </c>
      <c r="CP8" s="1" t="s">
        <v>99</v>
      </c>
      <c r="CR8" s="1" t="s">
        <v>100</v>
      </c>
      <c r="CS8" s="1">
        <v>59.998944020000003</v>
      </c>
      <c r="CT8" s="1" t="s">
        <v>159</v>
      </c>
    </row>
    <row r="9" spans="1:98" x14ac:dyDescent="0.35">
      <c r="A9" s="1" t="s">
        <v>107</v>
      </c>
      <c r="B9" s="1">
        <v>5</v>
      </c>
      <c r="C9" s="1">
        <v>5</v>
      </c>
      <c r="D9" s="1">
        <v>0</v>
      </c>
      <c r="M9" s="1">
        <v>0</v>
      </c>
      <c r="N9" s="1">
        <v>5</v>
      </c>
      <c r="O9" s="1">
        <v>5</v>
      </c>
      <c r="P9" s="1">
        <v>9</v>
      </c>
      <c r="AC9" s="1">
        <v>11.7957892</v>
      </c>
      <c r="AP9" s="1">
        <v>11.783769899999999</v>
      </c>
      <c r="AQ9" s="1">
        <v>11.7957892</v>
      </c>
      <c r="AR9" s="1">
        <v>12.779632400000001</v>
      </c>
      <c r="AS9" s="1">
        <v>12.7797047</v>
      </c>
      <c r="AT9" s="1">
        <v>12.7955913</v>
      </c>
      <c r="AU9" s="1">
        <v>13.2793584</v>
      </c>
      <c r="CM9" s="1">
        <v>8</v>
      </c>
      <c r="CN9" s="1">
        <v>1</v>
      </c>
      <c r="CO9" s="1" t="s">
        <v>158</v>
      </c>
      <c r="CP9" s="1" t="s">
        <v>99</v>
      </c>
      <c r="CR9" s="1" t="s">
        <v>100</v>
      </c>
      <c r="CS9" s="1">
        <v>59.998944020000003</v>
      </c>
      <c r="CT9" s="1" t="s">
        <v>159</v>
      </c>
    </row>
    <row r="10" spans="1:98" x14ac:dyDescent="0.35">
      <c r="A10" s="1" t="s">
        <v>108</v>
      </c>
      <c r="B10" s="1">
        <v>6</v>
      </c>
      <c r="C10" s="1">
        <v>6</v>
      </c>
      <c r="D10" s="1">
        <v>0</v>
      </c>
      <c r="M10" s="1">
        <v>0</v>
      </c>
      <c r="N10" s="1">
        <v>6</v>
      </c>
      <c r="O10" s="1">
        <v>6</v>
      </c>
      <c r="P10" s="1">
        <v>4</v>
      </c>
      <c r="AC10" s="1">
        <v>13.295787900000001</v>
      </c>
      <c r="AP10" s="1">
        <v>13.2836845</v>
      </c>
      <c r="AQ10" s="1">
        <v>13.295787900000001</v>
      </c>
      <c r="AR10" s="1">
        <v>14.27943</v>
      </c>
      <c r="AS10" s="1">
        <v>14.2795212</v>
      </c>
      <c r="AT10" s="1">
        <v>14.29551</v>
      </c>
      <c r="AU10" s="1">
        <v>14.7802294</v>
      </c>
      <c r="CM10" s="1">
        <v>8</v>
      </c>
      <c r="CN10" s="1">
        <v>1</v>
      </c>
      <c r="CO10" s="1" t="s">
        <v>158</v>
      </c>
      <c r="CP10" s="1" t="s">
        <v>99</v>
      </c>
      <c r="CR10" s="1" t="s">
        <v>100</v>
      </c>
      <c r="CS10" s="1">
        <v>59.998944020000003</v>
      </c>
      <c r="CT10" s="1" t="s">
        <v>159</v>
      </c>
    </row>
    <row r="11" spans="1:98" x14ac:dyDescent="0.35">
      <c r="A11" s="1" t="s">
        <v>109</v>
      </c>
      <c r="B11" s="1">
        <v>7</v>
      </c>
      <c r="C11" s="1">
        <v>7</v>
      </c>
      <c r="D11" s="1">
        <v>0</v>
      </c>
      <c r="M11" s="1">
        <v>0</v>
      </c>
      <c r="N11" s="1">
        <v>7</v>
      </c>
      <c r="O11" s="1">
        <v>7</v>
      </c>
      <c r="P11" s="1">
        <v>8</v>
      </c>
      <c r="AC11" s="1">
        <v>14.795285</v>
      </c>
      <c r="AP11" s="1">
        <v>14.785100099999999</v>
      </c>
      <c r="AQ11" s="1">
        <v>14.795285</v>
      </c>
      <c r="AR11" s="1">
        <v>15.7799081</v>
      </c>
      <c r="AS11" s="1">
        <v>15.779988599999999</v>
      </c>
      <c r="AT11" s="1">
        <v>15.7954597</v>
      </c>
      <c r="AU11" s="1">
        <v>16.279844900000001</v>
      </c>
      <c r="CM11" s="1">
        <v>8</v>
      </c>
      <c r="CN11" s="1">
        <v>1</v>
      </c>
      <c r="CO11" s="1" t="s">
        <v>158</v>
      </c>
      <c r="CP11" s="1" t="s">
        <v>99</v>
      </c>
      <c r="CR11" s="1" t="s">
        <v>100</v>
      </c>
      <c r="CS11" s="1">
        <v>59.998944020000003</v>
      </c>
      <c r="CT11" s="1" t="s">
        <v>159</v>
      </c>
    </row>
    <row r="12" spans="1:98" x14ac:dyDescent="0.35">
      <c r="A12" s="1" t="s">
        <v>112</v>
      </c>
      <c r="B12" s="1">
        <v>8</v>
      </c>
      <c r="C12" s="1">
        <v>8</v>
      </c>
      <c r="D12" s="1">
        <v>0</v>
      </c>
      <c r="M12" s="1">
        <v>0</v>
      </c>
      <c r="N12" s="1">
        <v>8</v>
      </c>
      <c r="O12" s="1">
        <v>8</v>
      </c>
      <c r="P12" s="1">
        <v>6</v>
      </c>
      <c r="AC12" s="1">
        <v>16.296217200000001</v>
      </c>
      <c r="AP12" s="1">
        <v>16.285003499999998</v>
      </c>
      <c r="AQ12" s="1">
        <v>16.296217200000001</v>
      </c>
      <c r="AR12" s="1">
        <v>17.279654099999998</v>
      </c>
      <c r="AS12" s="1">
        <v>17.2797497</v>
      </c>
      <c r="AT12" s="1">
        <v>17.2957362</v>
      </c>
      <c r="AU12" s="1">
        <v>17.779063699999998</v>
      </c>
      <c r="CM12" s="1">
        <v>8</v>
      </c>
      <c r="CN12" s="1">
        <v>1</v>
      </c>
      <c r="CO12" s="1" t="s">
        <v>158</v>
      </c>
      <c r="CP12" s="1" t="s">
        <v>99</v>
      </c>
      <c r="CR12" s="1" t="s">
        <v>100</v>
      </c>
      <c r="CS12" s="1">
        <v>59.998944020000003</v>
      </c>
      <c r="CT12" s="1" t="s">
        <v>159</v>
      </c>
    </row>
    <row r="13" spans="1:98" x14ac:dyDescent="0.35">
      <c r="A13" s="1" t="s">
        <v>106</v>
      </c>
      <c r="B13" s="1">
        <v>9</v>
      </c>
      <c r="C13" s="1">
        <v>9</v>
      </c>
      <c r="D13" s="1">
        <v>0</v>
      </c>
      <c r="M13" s="1">
        <v>0</v>
      </c>
      <c r="N13" s="1">
        <v>9</v>
      </c>
      <c r="O13" s="1">
        <v>9</v>
      </c>
      <c r="P13" s="1">
        <v>0</v>
      </c>
      <c r="AC13" s="1">
        <v>17.795461599999999</v>
      </c>
      <c r="AP13" s="1">
        <v>17.7825326</v>
      </c>
      <c r="AQ13" s="1">
        <v>17.795461599999999</v>
      </c>
      <c r="AR13" s="1">
        <v>18.779543799999999</v>
      </c>
      <c r="AS13" s="1">
        <v>18.779909400000001</v>
      </c>
      <c r="AT13" s="1">
        <v>18.795390099999999</v>
      </c>
      <c r="AU13" s="1">
        <v>19.2789401</v>
      </c>
      <c r="CM13" s="1">
        <v>8</v>
      </c>
      <c r="CN13" s="1">
        <v>1</v>
      </c>
      <c r="CO13" s="1" t="s">
        <v>158</v>
      </c>
      <c r="CP13" s="1" t="s">
        <v>99</v>
      </c>
      <c r="CR13" s="1" t="s">
        <v>100</v>
      </c>
      <c r="CS13" s="1">
        <v>59.998944020000003</v>
      </c>
      <c r="CT13" s="1" t="s">
        <v>159</v>
      </c>
    </row>
    <row r="14" spans="1:98" x14ac:dyDescent="0.35">
      <c r="B14" s="1">
        <v>0</v>
      </c>
      <c r="C14" s="1">
        <v>0</v>
      </c>
      <c r="D14" s="1">
        <v>0</v>
      </c>
      <c r="E14" s="1" t="s">
        <v>123</v>
      </c>
      <c r="Q14" s="1">
        <v>0</v>
      </c>
      <c r="R14" s="1">
        <v>0</v>
      </c>
      <c r="S14" s="1">
        <v>0</v>
      </c>
      <c r="T14" s="1">
        <v>2</v>
      </c>
      <c r="AC14" s="1">
        <v>19.295346500000001</v>
      </c>
      <c r="AS14" s="1">
        <v>20.278905900000002</v>
      </c>
      <c r="AT14" s="1">
        <v>20.295729000000001</v>
      </c>
      <c r="AU14" s="1">
        <v>20.7796059</v>
      </c>
      <c r="AV14" s="1">
        <v>19.288846299999999</v>
      </c>
      <c r="AW14" s="1">
        <v>19.295346500000001</v>
      </c>
      <c r="AX14" s="1">
        <v>20.278851199999998</v>
      </c>
      <c r="CM14" s="1">
        <v>8</v>
      </c>
      <c r="CN14" s="1">
        <v>1</v>
      </c>
      <c r="CO14" s="1" t="s">
        <v>158</v>
      </c>
      <c r="CP14" s="1" t="s">
        <v>99</v>
      </c>
      <c r="CR14" s="1" t="s">
        <v>100</v>
      </c>
      <c r="CS14" s="1">
        <v>59.998944020000003</v>
      </c>
      <c r="CT14" s="1" t="s">
        <v>159</v>
      </c>
    </row>
    <row r="15" spans="1:98" x14ac:dyDescent="0.35">
      <c r="B15" s="1">
        <v>1</v>
      </c>
      <c r="C15" s="1">
        <v>1</v>
      </c>
      <c r="D15" s="1">
        <v>0</v>
      </c>
      <c r="E15" s="1" t="s">
        <v>115</v>
      </c>
      <c r="Q15" s="1">
        <v>0</v>
      </c>
      <c r="R15" s="1">
        <v>1</v>
      </c>
      <c r="S15" s="1">
        <v>1</v>
      </c>
      <c r="T15" s="1">
        <v>7</v>
      </c>
      <c r="AC15" s="1">
        <v>20.7954027</v>
      </c>
      <c r="AS15" s="1">
        <v>21.779565399999999</v>
      </c>
      <c r="AT15" s="1">
        <v>21.795503499999999</v>
      </c>
      <c r="AU15" s="1">
        <v>22.279427600000002</v>
      </c>
      <c r="AV15" s="1">
        <v>20.783138399999999</v>
      </c>
      <c r="AW15" s="1">
        <v>20.7954027</v>
      </c>
      <c r="AX15" s="1">
        <v>21.779491700000001</v>
      </c>
      <c r="CM15" s="1">
        <v>8</v>
      </c>
      <c r="CN15" s="1">
        <v>1</v>
      </c>
      <c r="CO15" s="1" t="s">
        <v>158</v>
      </c>
      <c r="CP15" s="1" t="s">
        <v>99</v>
      </c>
      <c r="CR15" s="1" t="s">
        <v>100</v>
      </c>
      <c r="CS15" s="1">
        <v>59.998944020000003</v>
      </c>
      <c r="CT15" s="1" t="s">
        <v>159</v>
      </c>
    </row>
    <row r="16" spans="1:98" x14ac:dyDescent="0.35">
      <c r="B16" s="1">
        <v>2</v>
      </c>
      <c r="C16" s="1">
        <v>2</v>
      </c>
      <c r="D16" s="1">
        <v>0</v>
      </c>
      <c r="E16" s="1" t="s">
        <v>116</v>
      </c>
      <c r="Q16" s="1">
        <v>0</v>
      </c>
      <c r="R16" s="1">
        <v>2</v>
      </c>
      <c r="S16" s="1">
        <v>2</v>
      </c>
      <c r="T16" s="1">
        <v>0</v>
      </c>
      <c r="AC16" s="1">
        <v>22.2957304</v>
      </c>
      <c r="AS16" s="1">
        <v>23.279416900000001</v>
      </c>
      <c r="AT16" s="1">
        <v>23.295637200000002</v>
      </c>
      <c r="AU16" s="1">
        <v>23.7791487</v>
      </c>
      <c r="AV16" s="1">
        <v>22.282625400000001</v>
      </c>
      <c r="AW16" s="1">
        <v>22.2957304</v>
      </c>
      <c r="AX16" s="1">
        <v>23.279336099999998</v>
      </c>
      <c r="CM16" s="1">
        <v>8</v>
      </c>
      <c r="CN16" s="1">
        <v>1</v>
      </c>
      <c r="CO16" s="1" t="s">
        <v>158</v>
      </c>
      <c r="CP16" s="1" t="s">
        <v>99</v>
      </c>
      <c r="CR16" s="1" t="s">
        <v>100</v>
      </c>
      <c r="CS16" s="1">
        <v>59.998944020000003</v>
      </c>
      <c r="CT16" s="1" t="s">
        <v>159</v>
      </c>
    </row>
    <row r="17" spans="2:98" x14ac:dyDescent="0.35">
      <c r="B17" s="1">
        <v>3</v>
      </c>
      <c r="C17" s="1">
        <v>3</v>
      </c>
      <c r="D17" s="1">
        <v>0</v>
      </c>
      <c r="E17" s="1" t="s">
        <v>114</v>
      </c>
      <c r="Q17" s="1">
        <v>0</v>
      </c>
      <c r="R17" s="1">
        <v>3</v>
      </c>
      <c r="S17" s="1">
        <v>3</v>
      </c>
      <c r="T17" s="1">
        <v>5</v>
      </c>
      <c r="AC17" s="1">
        <v>23.795225599999998</v>
      </c>
      <c r="AS17" s="1">
        <v>24.7797105</v>
      </c>
      <c r="AT17" s="1">
        <v>24.795814700000001</v>
      </c>
      <c r="AU17" s="1">
        <v>25.279247600000001</v>
      </c>
      <c r="AV17" s="1">
        <v>23.784412</v>
      </c>
      <c r="AW17" s="1">
        <v>23.795225599999998</v>
      </c>
      <c r="AX17" s="1">
        <v>24.779608400000001</v>
      </c>
      <c r="CM17" s="1">
        <v>8</v>
      </c>
      <c r="CN17" s="1">
        <v>1</v>
      </c>
      <c r="CO17" s="1" t="s">
        <v>158</v>
      </c>
      <c r="CP17" s="1" t="s">
        <v>99</v>
      </c>
      <c r="CR17" s="1" t="s">
        <v>100</v>
      </c>
      <c r="CS17" s="1">
        <v>59.998944020000003</v>
      </c>
      <c r="CT17" s="1" t="s">
        <v>159</v>
      </c>
    </row>
    <row r="18" spans="2:98" x14ac:dyDescent="0.35">
      <c r="B18" s="1">
        <v>4</v>
      </c>
      <c r="C18" s="1">
        <v>4</v>
      </c>
      <c r="D18" s="1">
        <v>0</v>
      </c>
      <c r="E18" s="1" t="s">
        <v>122</v>
      </c>
      <c r="Q18" s="1">
        <v>0</v>
      </c>
      <c r="R18" s="1">
        <v>4</v>
      </c>
      <c r="S18" s="1">
        <v>4</v>
      </c>
      <c r="T18" s="1">
        <v>8</v>
      </c>
      <c r="AC18" s="1">
        <v>25.2953999</v>
      </c>
      <c r="AS18" s="1">
        <v>26.278927599999999</v>
      </c>
      <c r="AT18" s="1">
        <v>26.295309400000001</v>
      </c>
      <c r="AU18" s="1">
        <v>26.779796399999999</v>
      </c>
      <c r="AV18" s="1">
        <v>25.283325300000001</v>
      </c>
      <c r="AW18" s="1">
        <v>25.2953999</v>
      </c>
      <c r="AX18" s="1">
        <v>26.278874399999999</v>
      </c>
      <c r="CM18" s="1">
        <v>8</v>
      </c>
      <c r="CN18" s="1">
        <v>1</v>
      </c>
      <c r="CO18" s="1" t="s">
        <v>158</v>
      </c>
      <c r="CP18" s="1" t="s">
        <v>99</v>
      </c>
      <c r="CR18" s="1" t="s">
        <v>100</v>
      </c>
      <c r="CS18" s="1">
        <v>59.998944020000003</v>
      </c>
      <c r="CT18" s="1" t="s">
        <v>159</v>
      </c>
    </row>
    <row r="19" spans="2:98" x14ac:dyDescent="0.35">
      <c r="B19" s="1">
        <v>5</v>
      </c>
      <c r="C19" s="1">
        <v>5</v>
      </c>
      <c r="D19" s="1">
        <v>0</v>
      </c>
      <c r="E19" s="1" t="s">
        <v>117</v>
      </c>
      <c r="Q19" s="1">
        <v>0</v>
      </c>
      <c r="R19" s="1">
        <v>5</v>
      </c>
      <c r="S19" s="1">
        <v>5</v>
      </c>
      <c r="T19" s="1">
        <v>1</v>
      </c>
      <c r="AC19" s="1">
        <v>26.795410799999999</v>
      </c>
      <c r="AS19" s="1">
        <v>27.779382500000001</v>
      </c>
      <c r="AT19" s="1">
        <v>27.795597000000001</v>
      </c>
      <c r="AU19" s="1">
        <v>28.2793797</v>
      </c>
      <c r="AV19" s="1">
        <v>26.784695299999999</v>
      </c>
      <c r="AW19" s="1">
        <v>26.795410799999999</v>
      </c>
      <c r="AX19" s="1">
        <v>27.779305999999998</v>
      </c>
      <c r="CM19" s="1">
        <v>8</v>
      </c>
      <c r="CN19" s="1">
        <v>1</v>
      </c>
      <c r="CO19" s="1" t="s">
        <v>158</v>
      </c>
      <c r="CP19" s="1" t="s">
        <v>99</v>
      </c>
      <c r="CR19" s="1" t="s">
        <v>100</v>
      </c>
      <c r="CS19" s="1">
        <v>59.998944020000003</v>
      </c>
      <c r="CT19" s="1" t="s">
        <v>159</v>
      </c>
    </row>
    <row r="20" spans="2:98" x14ac:dyDescent="0.35">
      <c r="B20" s="1">
        <v>6</v>
      </c>
      <c r="C20" s="1">
        <v>6</v>
      </c>
      <c r="D20" s="1">
        <v>0</v>
      </c>
      <c r="E20" s="1" t="s">
        <v>119</v>
      </c>
      <c r="Q20" s="1">
        <v>0</v>
      </c>
      <c r="R20" s="1">
        <v>6</v>
      </c>
      <c r="S20" s="1">
        <v>6</v>
      </c>
      <c r="T20" s="1">
        <v>9</v>
      </c>
      <c r="AC20" s="1">
        <v>28.295132299999999</v>
      </c>
      <c r="AS20" s="1">
        <v>29.279486599999998</v>
      </c>
      <c r="AT20" s="1">
        <v>29.295623899999999</v>
      </c>
      <c r="AU20" s="1">
        <v>29.778976</v>
      </c>
      <c r="AV20" s="1">
        <v>28.284358300000001</v>
      </c>
      <c r="AW20" s="1">
        <v>28.295132299999999</v>
      </c>
      <c r="AX20" s="1">
        <v>29.279400899999999</v>
      </c>
      <c r="CM20" s="1">
        <v>8</v>
      </c>
      <c r="CN20" s="1">
        <v>1</v>
      </c>
      <c r="CO20" s="1" t="s">
        <v>158</v>
      </c>
      <c r="CP20" s="1" t="s">
        <v>99</v>
      </c>
      <c r="CR20" s="1" t="s">
        <v>100</v>
      </c>
      <c r="CS20" s="1">
        <v>59.998944020000003</v>
      </c>
      <c r="CT20" s="1" t="s">
        <v>159</v>
      </c>
    </row>
    <row r="21" spans="2:98" x14ac:dyDescent="0.35">
      <c r="B21" s="1">
        <v>7</v>
      </c>
      <c r="C21" s="1">
        <v>7</v>
      </c>
      <c r="D21" s="1">
        <v>0</v>
      </c>
      <c r="E21" s="1" t="s">
        <v>118</v>
      </c>
      <c r="Q21" s="1">
        <v>0</v>
      </c>
      <c r="R21" s="1">
        <v>7</v>
      </c>
      <c r="S21" s="1">
        <v>7</v>
      </c>
      <c r="T21" s="1">
        <v>6</v>
      </c>
      <c r="AC21" s="1">
        <v>29.795639399999999</v>
      </c>
      <c r="AS21" s="1">
        <v>30.779236900000001</v>
      </c>
      <c r="AT21" s="1">
        <v>30.795249800000001</v>
      </c>
      <c r="AU21" s="1">
        <v>31.278902899999999</v>
      </c>
      <c r="AV21" s="1">
        <v>29.7824068</v>
      </c>
      <c r="AW21" s="1">
        <v>29.795639399999999</v>
      </c>
      <c r="AX21" s="1">
        <v>30.779153900000001</v>
      </c>
      <c r="CM21" s="1">
        <v>8</v>
      </c>
      <c r="CN21" s="1">
        <v>1</v>
      </c>
      <c r="CO21" s="1" t="s">
        <v>158</v>
      </c>
      <c r="CP21" s="1" t="s">
        <v>99</v>
      </c>
      <c r="CR21" s="1" t="s">
        <v>100</v>
      </c>
      <c r="CS21" s="1">
        <v>59.998944020000003</v>
      </c>
      <c r="CT21" s="1" t="s">
        <v>159</v>
      </c>
    </row>
    <row r="22" spans="2:98" x14ac:dyDescent="0.35">
      <c r="B22" s="1">
        <v>8</v>
      </c>
      <c r="C22" s="1">
        <v>8</v>
      </c>
      <c r="D22" s="1">
        <v>0</v>
      </c>
      <c r="E22" s="1" t="s">
        <v>120</v>
      </c>
      <c r="Q22" s="1">
        <v>0</v>
      </c>
      <c r="R22" s="1">
        <v>8</v>
      </c>
      <c r="S22" s="1">
        <v>8</v>
      </c>
      <c r="T22" s="1">
        <v>4</v>
      </c>
      <c r="AC22" s="1">
        <v>31.295311000000002</v>
      </c>
      <c r="AS22" s="1">
        <v>32.279637399999999</v>
      </c>
      <c r="AT22" s="1">
        <v>32.295584599999998</v>
      </c>
      <c r="AU22" s="1">
        <v>32.778720999999997</v>
      </c>
      <c r="AV22" s="1">
        <v>31.282595600000001</v>
      </c>
      <c r="AW22" s="1">
        <v>31.295311000000002</v>
      </c>
      <c r="AX22" s="1">
        <v>32.279533899999997</v>
      </c>
      <c r="CM22" s="1">
        <v>8</v>
      </c>
      <c r="CN22" s="1">
        <v>1</v>
      </c>
      <c r="CO22" s="1" t="s">
        <v>158</v>
      </c>
      <c r="CP22" s="1" t="s">
        <v>99</v>
      </c>
      <c r="CR22" s="1" t="s">
        <v>100</v>
      </c>
      <c r="CS22" s="1">
        <v>59.998944020000003</v>
      </c>
      <c r="CT22" s="1" t="s">
        <v>159</v>
      </c>
    </row>
    <row r="23" spans="2:98" x14ac:dyDescent="0.35">
      <c r="B23" s="1">
        <v>9</v>
      </c>
      <c r="C23" s="1">
        <v>9</v>
      </c>
      <c r="D23" s="1">
        <v>0</v>
      </c>
      <c r="E23" s="1" t="s">
        <v>121</v>
      </c>
      <c r="Q23" s="1">
        <v>0</v>
      </c>
      <c r="R23" s="1">
        <v>9</v>
      </c>
      <c r="S23" s="1">
        <v>9</v>
      </c>
      <c r="T23" s="1">
        <v>3</v>
      </c>
      <c r="AC23" s="1">
        <v>32.795078799999999</v>
      </c>
      <c r="AS23" s="1">
        <v>33.7796691</v>
      </c>
      <c r="AT23" s="1">
        <v>33.795368600000003</v>
      </c>
      <c r="AU23" s="1">
        <v>34.279159999999997</v>
      </c>
      <c r="AV23" s="1">
        <v>32.782711499999998</v>
      </c>
      <c r="AW23" s="1">
        <v>32.795078799999999</v>
      </c>
      <c r="AX23" s="1">
        <v>33.779418499999998</v>
      </c>
      <c r="CM23" s="1">
        <v>8</v>
      </c>
      <c r="CN23" s="1">
        <v>1</v>
      </c>
      <c r="CO23" s="1" t="s">
        <v>158</v>
      </c>
      <c r="CP23" s="1" t="s">
        <v>99</v>
      </c>
      <c r="CR23" s="1" t="s">
        <v>100</v>
      </c>
      <c r="CS23" s="1">
        <v>59.998944020000003</v>
      </c>
      <c r="CT23" s="1" t="s">
        <v>159</v>
      </c>
    </row>
    <row r="24" spans="2:98" x14ac:dyDescent="0.35">
      <c r="B24" s="1">
        <v>0</v>
      </c>
      <c r="C24" s="1">
        <v>0</v>
      </c>
      <c r="D24" s="1">
        <v>0</v>
      </c>
      <c r="F24" s="1" t="s">
        <v>125</v>
      </c>
      <c r="U24" s="1">
        <v>0</v>
      </c>
      <c r="V24" s="1">
        <v>0</v>
      </c>
      <c r="W24" s="1">
        <v>0</v>
      </c>
      <c r="X24" s="1">
        <v>8</v>
      </c>
      <c r="AC24" s="1">
        <v>34.384219299999998</v>
      </c>
      <c r="AS24" s="1">
        <v>35.279232100000002</v>
      </c>
      <c r="AT24" s="1">
        <v>35.295446800000001</v>
      </c>
      <c r="AU24" s="1">
        <v>35.779227200000001</v>
      </c>
      <c r="AY24" s="1">
        <v>34.380709099999997</v>
      </c>
      <c r="AZ24" s="1">
        <v>34.384219299999998</v>
      </c>
      <c r="BA24" s="1">
        <v>35.279160599999997</v>
      </c>
      <c r="CM24" s="1">
        <v>8</v>
      </c>
      <c r="CN24" s="1">
        <v>1</v>
      </c>
      <c r="CO24" s="1" t="s">
        <v>158</v>
      </c>
      <c r="CP24" s="1" t="s">
        <v>99</v>
      </c>
      <c r="CR24" s="1" t="s">
        <v>100</v>
      </c>
      <c r="CS24" s="1">
        <v>59.998944020000003</v>
      </c>
      <c r="CT24" s="1" t="s">
        <v>159</v>
      </c>
    </row>
    <row r="25" spans="2:98" x14ac:dyDescent="0.35">
      <c r="B25" s="1">
        <v>1</v>
      </c>
      <c r="C25" s="1">
        <v>1</v>
      </c>
      <c r="D25" s="1">
        <v>0</v>
      </c>
      <c r="F25" s="1" t="s">
        <v>127</v>
      </c>
      <c r="U25" s="1">
        <v>0</v>
      </c>
      <c r="V25" s="1">
        <v>1</v>
      </c>
      <c r="W25" s="1">
        <v>1</v>
      </c>
      <c r="X25" s="1">
        <v>5</v>
      </c>
      <c r="AC25" s="1">
        <v>35.795485100000001</v>
      </c>
      <c r="AS25" s="1">
        <v>36.7787237</v>
      </c>
      <c r="AT25" s="1">
        <v>36.795158299999997</v>
      </c>
      <c r="AU25" s="1">
        <v>37.278615299999998</v>
      </c>
      <c r="AY25" s="1">
        <v>35.782683599999999</v>
      </c>
      <c r="AZ25" s="1">
        <v>35.795485100000001</v>
      </c>
      <c r="BA25" s="1">
        <v>36.778670200000001</v>
      </c>
      <c r="CM25" s="1">
        <v>8</v>
      </c>
      <c r="CN25" s="1">
        <v>1</v>
      </c>
      <c r="CO25" s="1" t="s">
        <v>158</v>
      </c>
      <c r="CP25" s="1" t="s">
        <v>99</v>
      </c>
      <c r="CR25" s="1" t="s">
        <v>100</v>
      </c>
      <c r="CS25" s="1">
        <v>59.998944020000003</v>
      </c>
      <c r="CT25" s="1" t="s">
        <v>159</v>
      </c>
    </row>
    <row r="26" spans="2:98" x14ac:dyDescent="0.35">
      <c r="B26" s="1">
        <v>2</v>
      </c>
      <c r="C26" s="1">
        <v>2</v>
      </c>
      <c r="D26" s="1">
        <v>0</v>
      </c>
      <c r="F26" s="1" t="s">
        <v>131</v>
      </c>
      <c r="U26" s="1">
        <v>0</v>
      </c>
      <c r="V26" s="1">
        <v>2</v>
      </c>
      <c r="W26" s="1">
        <v>2</v>
      </c>
      <c r="X26" s="1">
        <v>2</v>
      </c>
      <c r="AC26" s="1">
        <v>37.295063599999999</v>
      </c>
      <c r="AS26" s="1">
        <v>38.278711800000004</v>
      </c>
      <c r="AT26" s="1">
        <v>38.294981900000003</v>
      </c>
      <c r="AU26" s="1">
        <v>38.779147500000001</v>
      </c>
      <c r="AY26" s="1">
        <v>37.282606899999998</v>
      </c>
      <c r="AZ26" s="1">
        <v>37.295063599999999</v>
      </c>
      <c r="BA26" s="1">
        <v>38.278653499999997</v>
      </c>
      <c r="CM26" s="1">
        <v>8</v>
      </c>
      <c r="CN26" s="1">
        <v>1</v>
      </c>
      <c r="CO26" s="1" t="s">
        <v>158</v>
      </c>
      <c r="CP26" s="1" t="s">
        <v>99</v>
      </c>
      <c r="CR26" s="1" t="s">
        <v>100</v>
      </c>
      <c r="CS26" s="1">
        <v>59.998944020000003</v>
      </c>
      <c r="CT26" s="1" t="s">
        <v>159</v>
      </c>
    </row>
    <row r="27" spans="2:98" x14ac:dyDescent="0.35">
      <c r="B27" s="1">
        <v>3</v>
      </c>
      <c r="C27" s="1">
        <v>3</v>
      </c>
      <c r="D27" s="1">
        <v>0</v>
      </c>
      <c r="F27" s="1" t="s">
        <v>130</v>
      </c>
      <c r="U27" s="1">
        <v>0</v>
      </c>
      <c r="V27" s="1">
        <v>3</v>
      </c>
      <c r="W27" s="1">
        <v>3</v>
      </c>
      <c r="X27" s="1">
        <v>3</v>
      </c>
      <c r="AC27" s="1">
        <v>38.7956693</v>
      </c>
      <c r="AS27" s="1">
        <v>39.778591900000002</v>
      </c>
      <c r="AT27" s="1">
        <v>39.795021499999997</v>
      </c>
      <c r="AU27" s="1">
        <v>40.278623099999997</v>
      </c>
      <c r="AY27" s="1">
        <v>38.784421199999997</v>
      </c>
      <c r="AZ27" s="1">
        <v>38.7956693</v>
      </c>
      <c r="BA27" s="1">
        <v>39.7785194</v>
      </c>
      <c r="CM27" s="1">
        <v>8</v>
      </c>
      <c r="CN27" s="1">
        <v>1</v>
      </c>
      <c r="CO27" s="1" t="s">
        <v>158</v>
      </c>
      <c r="CP27" s="1" t="s">
        <v>99</v>
      </c>
      <c r="CR27" s="1" t="s">
        <v>100</v>
      </c>
      <c r="CS27" s="1">
        <v>59.998944020000003</v>
      </c>
      <c r="CT27" s="1" t="s">
        <v>159</v>
      </c>
    </row>
    <row r="28" spans="2:98" x14ac:dyDescent="0.35">
      <c r="B28" s="1">
        <v>4</v>
      </c>
      <c r="C28" s="1">
        <v>4</v>
      </c>
      <c r="D28" s="1">
        <v>0</v>
      </c>
      <c r="F28" s="1" t="s">
        <v>126</v>
      </c>
      <c r="U28" s="1">
        <v>0</v>
      </c>
      <c r="V28" s="1">
        <v>4</v>
      </c>
      <c r="W28" s="1">
        <v>4</v>
      </c>
      <c r="X28" s="1">
        <v>4</v>
      </c>
      <c r="AC28" s="1">
        <v>40.294855099999999</v>
      </c>
      <c r="AS28" s="1">
        <v>41.279040700000003</v>
      </c>
      <c r="AT28" s="1">
        <v>41.296154799999996</v>
      </c>
      <c r="AU28" s="1">
        <v>41.778845799999999</v>
      </c>
      <c r="AY28" s="1">
        <v>40.281938699999998</v>
      </c>
      <c r="AZ28" s="1">
        <v>40.294855099999999</v>
      </c>
      <c r="BA28" s="1">
        <v>41.278978700000003</v>
      </c>
      <c r="CM28" s="1">
        <v>8</v>
      </c>
      <c r="CN28" s="1">
        <v>1</v>
      </c>
      <c r="CO28" s="1" t="s">
        <v>158</v>
      </c>
      <c r="CP28" s="1" t="s">
        <v>99</v>
      </c>
      <c r="CR28" s="1" t="s">
        <v>100</v>
      </c>
      <c r="CS28" s="1">
        <v>59.998944020000003</v>
      </c>
      <c r="CT28" s="1" t="s">
        <v>159</v>
      </c>
    </row>
    <row r="29" spans="2:98" x14ac:dyDescent="0.35">
      <c r="B29" s="1">
        <v>5</v>
      </c>
      <c r="C29" s="1">
        <v>5</v>
      </c>
      <c r="D29" s="1">
        <v>0</v>
      </c>
      <c r="F29" s="1" t="s">
        <v>128</v>
      </c>
      <c r="U29" s="1">
        <v>0</v>
      </c>
      <c r="V29" s="1">
        <v>5</v>
      </c>
      <c r="W29" s="1">
        <v>5</v>
      </c>
      <c r="X29" s="1">
        <v>6</v>
      </c>
      <c r="AC29" s="1">
        <v>41.795616099999997</v>
      </c>
      <c r="AS29" s="1">
        <v>42.779091999999999</v>
      </c>
      <c r="AT29" s="1">
        <v>42.795648800000002</v>
      </c>
      <c r="AU29" s="1">
        <v>43.279413300000002</v>
      </c>
      <c r="AY29" s="1">
        <v>41.7845862</v>
      </c>
      <c r="AZ29" s="1">
        <v>41.795616099999997</v>
      </c>
      <c r="BA29" s="1">
        <v>42.779010399999997</v>
      </c>
      <c r="CM29" s="1">
        <v>8</v>
      </c>
      <c r="CN29" s="1">
        <v>1</v>
      </c>
      <c r="CO29" s="1" t="s">
        <v>158</v>
      </c>
      <c r="CP29" s="1" t="s">
        <v>99</v>
      </c>
      <c r="CR29" s="1" t="s">
        <v>100</v>
      </c>
      <c r="CS29" s="1">
        <v>59.998944020000003</v>
      </c>
      <c r="CT29" s="1" t="s">
        <v>159</v>
      </c>
    </row>
    <row r="30" spans="2:98" x14ac:dyDescent="0.35">
      <c r="B30" s="1">
        <v>6</v>
      </c>
      <c r="C30" s="1">
        <v>6</v>
      </c>
      <c r="D30" s="1">
        <v>0</v>
      </c>
      <c r="F30" s="1" t="s">
        <v>133</v>
      </c>
      <c r="U30" s="1">
        <v>0</v>
      </c>
      <c r="V30" s="1">
        <v>6</v>
      </c>
      <c r="W30" s="1">
        <v>6</v>
      </c>
      <c r="X30" s="1">
        <v>1</v>
      </c>
      <c r="AC30" s="1">
        <v>43.295693900000003</v>
      </c>
      <c r="AS30" s="1">
        <v>44.278682500000002</v>
      </c>
      <c r="AT30" s="1">
        <v>44.295653600000001</v>
      </c>
      <c r="AU30" s="1">
        <v>44.779294899999996</v>
      </c>
      <c r="AY30" s="1">
        <v>43.282632399999997</v>
      </c>
      <c r="AZ30" s="1">
        <v>43.295693900000003</v>
      </c>
      <c r="BA30" s="1">
        <v>44.278614099999999</v>
      </c>
      <c r="CM30" s="1">
        <v>8</v>
      </c>
      <c r="CN30" s="1">
        <v>1</v>
      </c>
      <c r="CO30" s="1" t="s">
        <v>158</v>
      </c>
      <c r="CP30" s="1" t="s">
        <v>99</v>
      </c>
      <c r="CR30" s="1" t="s">
        <v>100</v>
      </c>
      <c r="CS30" s="1">
        <v>59.998944020000003</v>
      </c>
      <c r="CT30" s="1" t="s">
        <v>159</v>
      </c>
    </row>
    <row r="31" spans="2:98" x14ac:dyDescent="0.35">
      <c r="B31" s="1">
        <v>7</v>
      </c>
      <c r="C31" s="1">
        <v>7</v>
      </c>
      <c r="D31" s="1">
        <v>0</v>
      </c>
      <c r="F31" s="1" t="s">
        <v>132</v>
      </c>
      <c r="U31" s="1">
        <v>0</v>
      </c>
      <c r="V31" s="1">
        <v>7</v>
      </c>
      <c r="W31" s="1">
        <v>7</v>
      </c>
      <c r="X31" s="1">
        <v>9</v>
      </c>
      <c r="AC31" s="1">
        <v>44.795262999999998</v>
      </c>
      <c r="AS31" s="1">
        <v>45.779127099999997</v>
      </c>
      <c r="AT31" s="1">
        <v>45.795108300000003</v>
      </c>
      <c r="AU31" s="1">
        <v>46.2789523</v>
      </c>
      <c r="AY31" s="1">
        <v>44.7832176</v>
      </c>
      <c r="AZ31" s="1">
        <v>44.795262999999998</v>
      </c>
      <c r="BA31" s="1">
        <v>45.779028400000001</v>
      </c>
      <c r="CM31" s="1">
        <v>8</v>
      </c>
      <c r="CN31" s="1">
        <v>1</v>
      </c>
      <c r="CO31" s="1" t="s">
        <v>158</v>
      </c>
      <c r="CP31" s="1" t="s">
        <v>99</v>
      </c>
      <c r="CR31" s="1" t="s">
        <v>100</v>
      </c>
      <c r="CS31" s="1">
        <v>59.998944020000003</v>
      </c>
      <c r="CT31" s="1" t="s">
        <v>159</v>
      </c>
    </row>
    <row r="32" spans="2:98" x14ac:dyDescent="0.35">
      <c r="B32" s="1">
        <v>8</v>
      </c>
      <c r="C32" s="1">
        <v>8</v>
      </c>
      <c r="D32" s="1">
        <v>0</v>
      </c>
      <c r="F32" s="1" t="s">
        <v>124</v>
      </c>
      <c r="U32" s="1">
        <v>0</v>
      </c>
      <c r="V32" s="1">
        <v>8</v>
      </c>
      <c r="W32" s="1">
        <v>8</v>
      </c>
      <c r="X32" s="1">
        <v>7</v>
      </c>
      <c r="AC32" s="1">
        <v>46.295350800000001</v>
      </c>
      <c r="AS32" s="1">
        <v>47.278944699999997</v>
      </c>
      <c r="AT32" s="1">
        <v>47.295105900000003</v>
      </c>
      <c r="AU32" s="1">
        <v>47.778960400000003</v>
      </c>
      <c r="AY32" s="1">
        <v>46.284403400000002</v>
      </c>
      <c r="AZ32" s="1">
        <v>46.295350800000001</v>
      </c>
      <c r="BA32" s="1">
        <v>47.278863600000001</v>
      </c>
      <c r="CM32" s="1">
        <v>8</v>
      </c>
      <c r="CN32" s="1">
        <v>1</v>
      </c>
      <c r="CO32" s="1" t="s">
        <v>158</v>
      </c>
      <c r="CP32" s="1" t="s">
        <v>99</v>
      </c>
      <c r="CR32" s="1" t="s">
        <v>100</v>
      </c>
      <c r="CS32" s="1">
        <v>59.998944020000003</v>
      </c>
      <c r="CT32" s="1" t="s">
        <v>159</v>
      </c>
    </row>
    <row r="33" spans="2:98" x14ac:dyDescent="0.35">
      <c r="B33" s="1">
        <v>9</v>
      </c>
      <c r="C33" s="1">
        <v>9</v>
      </c>
      <c r="D33" s="1">
        <v>0</v>
      </c>
      <c r="F33" s="1" t="s">
        <v>129</v>
      </c>
      <c r="U33" s="1">
        <v>0</v>
      </c>
      <c r="V33" s="1">
        <v>9</v>
      </c>
      <c r="W33" s="1">
        <v>9</v>
      </c>
      <c r="X33" s="1">
        <v>0</v>
      </c>
      <c r="AC33" s="1">
        <v>47.794748200000001</v>
      </c>
      <c r="AS33" s="1">
        <v>48.778692599999999</v>
      </c>
      <c r="AT33" s="1">
        <v>48.795055699999999</v>
      </c>
      <c r="AU33" s="1">
        <v>49.279234600000002</v>
      </c>
      <c r="AY33" s="1">
        <v>47.786043399999997</v>
      </c>
      <c r="AZ33" s="1">
        <v>47.794748200000001</v>
      </c>
      <c r="BA33" s="1">
        <v>48.778579200000003</v>
      </c>
      <c r="CM33" s="1">
        <v>8</v>
      </c>
      <c r="CN33" s="1">
        <v>1</v>
      </c>
      <c r="CO33" s="1" t="s">
        <v>158</v>
      </c>
      <c r="CP33" s="1" t="s">
        <v>99</v>
      </c>
      <c r="CR33" s="1" t="s">
        <v>100</v>
      </c>
      <c r="CS33" s="1">
        <v>59.998944020000003</v>
      </c>
      <c r="CT33" s="1" t="s">
        <v>159</v>
      </c>
    </row>
    <row r="34" spans="2:98" x14ac:dyDescent="0.35">
      <c r="BB34" s="1">
        <v>49.2794284</v>
      </c>
      <c r="BC34" s="1">
        <v>49.295819299999998</v>
      </c>
      <c r="BD34" s="1">
        <v>49.295819299999998</v>
      </c>
      <c r="BE34" s="1">
        <v>50.911850299999998</v>
      </c>
      <c r="BF34" s="1" t="s">
        <v>102</v>
      </c>
      <c r="BG34" s="1">
        <v>1.6128689</v>
      </c>
      <c r="BH34" s="1" t="s">
        <v>103</v>
      </c>
      <c r="CM34" s="1">
        <v>8</v>
      </c>
      <c r="CN34" s="1">
        <v>1</v>
      </c>
      <c r="CO34" s="1" t="s">
        <v>158</v>
      </c>
      <c r="CP34" s="1" t="s">
        <v>99</v>
      </c>
      <c r="CR34" s="1" t="s">
        <v>100</v>
      </c>
      <c r="CS34" s="1">
        <v>59.998944020000003</v>
      </c>
      <c r="CT34" s="1" t="s">
        <v>159</v>
      </c>
    </row>
    <row r="35" spans="2:98" x14ac:dyDescent="0.35">
      <c r="BI35" s="1">
        <v>50.911937500000001</v>
      </c>
      <c r="BJ35" s="1">
        <v>50.927699599999997</v>
      </c>
      <c r="BK35" s="1">
        <v>50.927699599999997</v>
      </c>
      <c r="BL35" s="1">
        <v>51.928659099999997</v>
      </c>
      <c r="BM35" s="1">
        <v>3</v>
      </c>
      <c r="BN35" s="1">
        <v>0.98648639999999999</v>
      </c>
      <c r="BO35" s="1" t="s">
        <v>103</v>
      </c>
      <c r="CM35" s="1">
        <v>8</v>
      </c>
      <c r="CN35" s="1">
        <v>1</v>
      </c>
      <c r="CO35" s="1" t="s">
        <v>158</v>
      </c>
      <c r="CP35" s="1" t="s">
        <v>99</v>
      </c>
      <c r="CR35" s="1" t="s">
        <v>100</v>
      </c>
      <c r="CS35" s="1">
        <v>59.998944020000003</v>
      </c>
      <c r="CT35" s="1" t="s">
        <v>159</v>
      </c>
    </row>
    <row r="36" spans="2:98" x14ac:dyDescent="0.35">
      <c r="BP36" s="1">
        <v>51.928986199999997</v>
      </c>
      <c r="BQ36" s="1">
        <v>51.944775800000002</v>
      </c>
      <c r="BR36" s="1">
        <v>51.944775800000002</v>
      </c>
      <c r="BS36" s="1">
        <v>53.746113200000003</v>
      </c>
      <c r="BT36" s="1" t="s">
        <v>102</v>
      </c>
      <c r="BU36" s="1">
        <v>1.795302</v>
      </c>
      <c r="BV36" s="1" t="s">
        <v>103</v>
      </c>
      <c r="CM36" s="1">
        <v>8</v>
      </c>
      <c r="CN36" s="1">
        <v>1</v>
      </c>
      <c r="CO36" s="1" t="s">
        <v>158</v>
      </c>
      <c r="CP36" s="1" t="s">
        <v>99</v>
      </c>
      <c r="CR36" s="1" t="s">
        <v>100</v>
      </c>
      <c r="CS36" s="1">
        <v>59.998944020000003</v>
      </c>
      <c r="CT36" s="1" t="s">
        <v>159</v>
      </c>
    </row>
    <row r="37" spans="2:98" x14ac:dyDescent="0.35">
      <c r="B37" s="1">
        <v>0</v>
      </c>
      <c r="C37" s="1">
        <v>0</v>
      </c>
      <c r="D37" s="1">
        <v>0</v>
      </c>
      <c r="G37" s="1" t="s">
        <v>139</v>
      </c>
      <c r="H37" s="1" t="s">
        <v>136</v>
      </c>
      <c r="I37" s="1" t="s">
        <v>136</v>
      </c>
      <c r="J37" s="1">
        <v>1</v>
      </c>
      <c r="K37" s="1">
        <v>1.4933977000000001</v>
      </c>
      <c r="L37" s="1" t="s">
        <v>103</v>
      </c>
      <c r="Y37" s="1">
        <v>0</v>
      </c>
      <c r="Z37" s="1">
        <v>0</v>
      </c>
      <c r="AA37" s="1">
        <v>0</v>
      </c>
      <c r="AB37" s="1">
        <v>9</v>
      </c>
      <c r="AC37" s="1">
        <v>53.768316900000002</v>
      </c>
      <c r="AS37" s="1">
        <v>55.262318</v>
      </c>
      <c r="AT37" s="1">
        <v>55.278367099999997</v>
      </c>
      <c r="AU37" s="1">
        <v>55.761954799999998</v>
      </c>
      <c r="BW37" s="1">
        <v>53.763620099999997</v>
      </c>
      <c r="BX37" s="1">
        <v>53.768316900000002</v>
      </c>
      <c r="BY37" s="1">
        <v>53.768316900000002</v>
      </c>
      <c r="BZ37" s="1">
        <v>55.262190400000001</v>
      </c>
      <c r="CA37" s="1" t="s">
        <v>136</v>
      </c>
      <c r="CB37" s="1">
        <v>1</v>
      </c>
      <c r="CC37" s="1">
        <v>1.4933977000000001</v>
      </c>
      <c r="CD37" s="1" t="s">
        <v>103</v>
      </c>
      <c r="CE37" s="1">
        <v>55.778416</v>
      </c>
      <c r="CM37" s="1">
        <v>8</v>
      </c>
      <c r="CN37" s="1">
        <v>1</v>
      </c>
      <c r="CO37" s="1" t="s">
        <v>158</v>
      </c>
      <c r="CP37" s="1" t="s">
        <v>99</v>
      </c>
      <c r="CR37" s="1" t="s">
        <v>100</v>
      </c>
      <c r="CS37" s="1">
        <v>59.998944020000003</v>
      </c>
      <c r="CT37" s="1" t="s">
        <v>159</v>
      </c>
    </row>
    <row r="38" spans="2:98" x14ac:dyDescent="0.35">
      <c r="B38" s="1">
        <v>1</v>
      </c>
      <c r="C38" s="1">
        <v>1</v>
      </c>
      <c r="D38" s="1">
        <v>0</v>
      </c>
      <c r="G38" s="1" t="s">
        <v>106</v>
      </c>
      <c r="H38" s="1" t="s">
        <v>134</v>
      </c>
      <c r="I38" s="1" t="s">
        <v>134</v>
      </c>
      <c r="J38" s="1">
        <v>1</v>
      </c>
      <c r="K38" s="1">
        <v>0.68748580000000004</v>
      </c>
      <c r="L38" s="1" t="s">
        <v>103</v>
      </c>
      <c r="Y38" s="1">
        <v>0</v>
      </c>
      <c r="Z38" s="1">
        <v>1</v>
      </c>
      <c r="AA38" s="1">
        <v>1</v>
      </c>
      <c r="AB38" s="1">
        <v>3</v>
      </c>
      <c r="AC38" s="1">
        <v>55.778416</v>
      </c>
      <c r="AS38" s="1">
        <v>56.478716400000003</v>
      </c>
      <c r="AT38" s="1">
        <v>56.494659900000002</v>
      </c>
      <c r="AU38" s="1">
        <v>56.978229399999996</v>
      </c>
      <c r="BW38" s="1">
        <v>55.7655666</v>
      </c>
      <c r="BX38" s="1">
        <v>55.778416</v>
      </c>
      <c r="BY38" s="1">
        <v>55.778416</v>
      </c>
      <c r="BZ38" s="1">
        <v>56.478597899999997</v>
      </c>
      <c r="CA38" s="1" t="s">
        <v>134</v>
      </c>
      <c r="CB38" s="1">
        <v>1</v>
      </c>
      <c r="CC38" s="1">
        <v>0.68748580000000004</v>
      </c>
      <c r="CD38" s="1" t="s">
        <v>103</v>
      </c>
      <c r="CE38" s="1">
        <v>56.994628300000002</v>
      </c>
      <c r="CM38" s="1">
        <v>8</v>
      </c>
      <c r="CN38" s="1">
        <v>1</v>
      </c>
      <c r="CO38" s="1" t="s">
        <v>158</v>
      </c>
      <c r="CP38" s="1" t="s">
        <v>99</v>
      </c>
      <c r="CR38" s="1" t="s">
        <v>100</v>
      </c>
      <c r="CS38" s="1">
        <v>59.998944020000003</v>
      </c>
      <c r="CT38" s="1" t="s">
        <v>159</v>
      </c>
    </row>
    <row r="39" spans="2:98" x14ac:dyDescent="0.35">
      <c r="B39" s="1">
        <v>2</v>
      </c>
      <c r="C39" s="1">
        <v>2</v>
      </c>
      <c r="D39" s="1">
        <v>0</v>
      </c>
      <c r="G39" s="1" t="s">
        <v>130</v>
      </c>
      <c r="H39" s="1" t="s">
        <v>134</v>
      </c>
      <c r="I39" s="1" t="s">
        <v>134</v>
      </c>
      <c r="J39" s="1">
        <v>1</v>
      </c>
      <c r="K39" s="1">
        <v>0.68445429999999996</v>
      </c>
      <c r="L39" s="1" t="s">
        <v>103</v>
      </c>
      <c r="Y39" s="1">
        <v>0</v>
      </c>
      <c r="Z39" s="1">
        <v>2</v>
      </c>
      <c r="AA39" s="1">
        <v>2</v>
      </c>
      <c r="AB39" s="1">
        <v>6</v>
      </c>
      <c r="AC39" s="1">
        <v>56.994628300000002</v>
      </c>
      <c r="AS39" s="1">
        <v>57.697385500000003</v>
      </c>
      <c r="AT39" s="1">
        <v>57.711574499999998</v>
      </c>
      <c r="AU39" s="1">
        <v>58.194891200000001</v>
      </c>
      <c r="BW39" s="1">
        <v>56.9824214</v>
      </c>
      <c r="BX39" s="1">
        <v>56.994628300000002</v>
      </c>
      <c r="BY39" s="1">
        <v>56.994628300000002</v>
      </c>
      <c r="BZ39" s="1">
        <v>57.697282800000004</v>
      </c>
      <c r="CA39" s="1" t="s">
        <v>134</v>
      </c>
      <c r="CB39" s="1">
        <v>1</v>
      </c>
      <c r="CC39" s="1">
        <v>0.68445429999999996</v>
      </c>
      <c r="CD39" s="1" t="s">
        <v>103</v>
      </c>
      <c r="CE39" s="1">
        <v>58.211506300000003</v>
      </c>
      <c r="CM39" s="1">
        <v>8</v>
      </c>
      <c r="CN39" s="1">
        <v>1</v>
      </c>
      <c r="CO39" s="1" t="s">
        <v>158</v>
      </c>
      <c r="CP39" s="1" t="s">
        <v>99</v>
      </c>
      <c r="CR39" s="1" t="s">
        <v>100</v>
      </c>
      <c r="CS39" s="1">
        <v>59.998944020000003</v>
      </c>
      <c r="CT39" s="1" t="s">
        <v>159</v>
      </c>
    </row>
    <row r="40" spans="2:98" x14ac:dyDescent="0.35">
      <c r="B40" s="1">
        <v>3</v>
      </c>
      <c r="C40" s="1">
        <v>3</v>
      </c>
      <c r="D40" s="1">
        <v>0</v>
      </c>
      <c r="G40" s="1" t="s">
        <v>129</v>
      </c>
      <c r="H40" s="1" t="s">
        <v>134</v>
      </c>
      <c r="I40" s="1" t="s">
        <v>134</v>
      </c>
      <c r="J40" s="1">
        <v>1</v>
      </c>
      <c r="K40" s="1">
        <v>0.81952420000000004</v>
      </c>
      <c r="L40" s="1" t="s">
        <v>103</v>
      </c>
      <c r="Y40" s="1">
        <v>0</v>
      </c>
      <c r="Z40" s="1">
        <v>3</v>
      </c>
      <c r="AA40" s="1">
        <v>3</v>
      </c>
      <c r="AB40" s="1">
        <v>5</v>
      </c>
      <c r="AC40" s="1">
        <v>58.211506300000003</v>
      </c>
      <c r="AS40" s="1">
        <v>59.0459289</v>
      </c>
      <c r="AT40" s="1">
        <v>59.061517899999998</v>
      </c>
      <c r="AU40" s="1">
        <v>59.544881699999998</v>
      </c>
      <c r="BW40" s="1">
        <v>58.19952</v>
      </c>
      <c r="BX40" s="1">
        <v>58.211506300000003</v>
      </c>
      <c r="BY40" s="1">
        <v>58.211506300000003</v>
      </c>
      <c r="BZ40" s="1">
        <v>59.0457769</v>
      </c>
      <c r="CA40" s="1" t="s">
        <v>134</v>
      </c>
      <c r="CB40" s="1">
        <v>1</v>
      </c>
      <c r="CC40" s="1">
        <v>0.81952420000000004</v>
      </c>
      <c r="CD40" s="1" t="s">
        <v>103</v>
      </c>
      <c r="CE40" s="1">
        <v>59.5613362</v>
      </c>
      <c r="CM40" s="1">
        <v>8</v>
      </c>
      <c r="CN40" s="1">
        <v>1</v>
      </c>
      <c r="CO40" s="1" t="s">
        <v>158</v>
      </c>
      <c r="CP40" s="1" t="s">
        <v>99</v>
      </c>
      <c r="CR40" s="1" t="s">
        <v>100</v>
      </c>
      <c r="CS40" s="1">
        <v>59.998944020000003</v>
      </c>
      <c r="CT40" s="1" t="s">
        <v>159</v>
      </c>
    </row>
    <row r="41" spans="2:98" x14ac:dyDescent="0.35">
      <c r="B41" s="1">
        <v>4</v>
      </c>
      <c r="C41" s="1">
        <v>4</v>
      </c>
      <c r="D41" s="1">
        <v>0</v>
      </c>
      <c r="G41" s="1" t="s">
        <v>135</v>
      </c>
      <c r="H41" s="1" t="s">
        <v>136</v>
      </c>
      <c r="I41" s="1" t="s">
        <v>136</v>
      </c>
      <c r="J41" s="1">
        <v>1</v>
      </c>
      <c r="K41" s="1">
        <v>0.58593680000000004</v>
      </c>
      <c r="L41" s="1" t="s">
        <v>103</v>
      </c>
      <c r="Y41" s="1">
        <v>0</v>
      </c>
      <c r="Z41" s="1">
        <v>4</v>
      </c>
      <c r="AA41" s="1">
        <v>4</v>
      </c>
      <c r="AB41" s="1">
        <v>8</v>
      </c>
      <c r="AC41" s="1">
        <v>59.5613362</v>
      </c>
      <c r="AS41" s="1">
        <v>60.162537700000001</v>
      </c>
      <c r="AT41" s="1">
        <v>60.178417500000002</v>
      </c>
      <c r="AU41" s="1">
        <v>60.662191999999997</v>
      </c>
      <c r="BW41" s="1">
        <v>59.549208100000001</v>
      </c>
      <c r="BX41" s="1">
        <v>59.5613362</v>
      </c>
      <c r="BY41" s="1">
        <v>59.5613362</v>
      </c>
      <c r="BZ41" s="1">
        <v>60.162400300000002</v>
      </c>
      <c r="CA41" s="1" t="s">
        <v>136</v>
      </c>
      <c r="CB41" s="1">
        <v>1</v>
      </c>
      <c r="CC41" s="1">
        <v>0.58593680000000004</v>
      </c>
      <c r="CD41" s="1" t="s">
        <v>103</v>
      </c>
      <c r="CE41" s="1">
        <v>60.678257199999997</v>
      </c>
      <c r="CM41" s="1">
        <v>8</v>
      </c>
      <c r="CN41" s="1">
        <v>1</v>
      </c>
      <c r="CO41" s="1" t="s">
        <v>158</v>
      </c>
      <c r="CP41" s="1" t="s">
        <v>99</v>
      </c>
      <c r="CR41" s="1" t="s">
        <v>100</v>
      </c>
      <c r="CS41" s="1">
        <v>59.998944020000003</v>
      </c>
      <c r="CT41" s="1" t="s">
        <v>159</v>
      </c>
    </row>
    <row r="42" spans="2:98" x14ac:dyDescent="0.35">
      <c r="B42" s="1">
        <v>5</v>
      </c>
      <c r="C42" s="1">
        <v>5</v>
      </c>
      <c r="D42" s="1">
        <v>0</v>
      </c>
      <c r="G42" s="1" t="s">
        <v>141</v>
      </c>
      <c r="H42" s="1" t="s">
        <v>136</v>
      </c>
      <c r="I42" s="1" t="s">
        <v>134</v>
      </c>
      <c r="J42" s="1">
        <v>0</v>
      </c>
      <c r="K42" s="1">
        <v>0.7112039</v>
      </c>
      <c r="L42" s="1" t="s">
        <v>103</v>
      </c>
      <c r="Y42" s="1">
        <v>0</v>
      </c>
      <c r="Z42" s="1">
        <v>5</v>
      </c>
      <c r="AA42" s="1">
        <v>5</v>
      </c>
      <c r="AB42" s="1">
        <v>1</v>
      </c>
      <c r="AC42" s="1">
        <v>60.678257199999997</v>
      </c>
      <c r="AS42" s="1">
        <v>61.395210400000003</v>
      </c>
      <c r="AT42" s="1">
        <v>61.411196199999999</v>
      </c>
      <c r="AU42" s="1">
        <v>61.894848799999998</v>
      </c>
      <c r="BW42" s="1">
        <v>60.665449199999998</v>
      </c>
      <c r="BX42" s="1">
        <v>60.678257199999997</v>
      </c>
      <c r="BY42" s="1">
        <v>60.678257199999997</v>
      </c>
      <c r="BZ42" s="1">
        <v>61.395117999999997</v>
      </c>
      <c r="CA42" s="1" t="s">
        <v>134</v>
      </c>
      <c r="CB42" s="1">
        <v>0</v>
      </c>
      <c r="CC42" s="1">
        <v>0.7112039</v>
      </c>
      <c r="CD42" s="1" t="s">
        <v>103</v>
      </c>
      <c r="CE42" s="1">
        <v>61.911158399999998</v>
      </c>
      <c r="CM42" s="1">
        <v>8</v>
      </c>
      <c r="CN42" s="1">
        <v>1</v>
      </c>
      <c r="CO42" s="1" t="s">
        <v>158</v>
      </c>
      <c r="CP42" s="1" t="s">
        <v>99</v>
      </c>
      <c r="CR42" s="1" t="s">
        <v>100</v>
      </c>
      <c r="CS42" s="1">
        <v>59.998944020000003</v>
      </c>
      <c r="CT42" s="1" t="s">
        <v>159</v>
      </c>
    </row>
    <row r="43" spans="2:98" x14ac:dyDescent="0.35">
      <c r="B43" s="1">
        <v>6</v>
      </c>
      <c r="C43" s="1">
        <v>6</v>
      </c>
      <c r="D43" s="1">
        <v>0</v>
      </c>
      <c r="G43" s="1" t="s">
        <v>116</v>
      </c>
      <c r="H43" s="1" t="s">
        <v>134</v>
      </c>
      <c r="I43" s="1" t="s">
        <v>134</v>
      </c>
      <c r="J43" s="1">
        <v>1</v>
      </c>
      <c r="K43" s="1">
        <v>1.1714768</v>
      </c>
      <c r="L43" s="1" t="s">
        <v>103</v>
      </c>
      <c r="Y43" s="1">
        <v>0</v>
      </c>
      <c r="Z43" s="1">
        <v>6</v>
      </c>
      <c r="AA43" s="1">
        <v>6</v>
      </c>
      <c r="AB43" s="1">
        <v>4</v>
      </c>
      <c r="AC43" s="1">
        <v>61.911158399999998</v>
      </c>
      <c r="AS43" s="1">
        <v>63.094920100000003</v>
      </c>
      <c r="AT43" s="1">
        <v>63.111711300000003</v>
      </c>
      <c r="AU43" s="1">
        <v>63.595007199999998</v>
      </c>
      <c r="BW43" s="1">
        <v>61.897691600000002</v>
      </c>
      <c r="BX43" s="1">
        <v>61.911158399999998</v>
      </c>
      <c r="BY43" s="1">
        <v>61.911158399999998</v>
      </c>
      <c r="BZ43" s="1">
        <v>63.094848200000001</v>
      </c>
      <c r="CA43" s="1" t="s">
        <v>134</v>
      </c>
      <c r="CB43" s="1">
        <v>1</v>
      </c>
      <c r="CC43" s="1">
        <v>1.1714768</v>
      </c>
      <c r="CD43" s="1" t="s">
        <v>103</v>
      </c>
      <c r="CM43" s="1">
        <v>8</v>
      </c>
      <c r="CN43" s="1">
        <v>1</v>
      </c>
      <c r="CO43" s="1" t="s">
        <v>158</v>
      </c>
      <c r="CP43" s="1" t="s">
        <v>99</v>
      </c>
      <c r="CR43" s="1" t="s">
        <v>100</v>
      </c>
      <c r="CS43" s="1">
        <v>59.998944020000003</v>
      </c>
      <c r="CT43" s="1" t="s">
        <v>159</v>
      </c>
    </row>
    <row r="44" spans="2:98" x14ac:dyDescent="0.35">
      <c r="B44" s="1">
        <v>7</v>
      </c>
      <c r="C44" s="1">
        <v>7</v>
      </c>
      <c r="D44" s="1">
        <v>0</v>
      </c>
      <c r="G44" s="1" t="s">
        <v>140</v>
      </c>
      <c r="H44" s="1" t="s">
        <v>136</v>
      </c>
      <c r="I44" s="1" t="s">
        <v>134</v>
      </c>
      <c r="J44" s="1">
        <v>0</v>
      </c>
      <c r="K44" s="1">
        <v>0.96880129999999998</v>
      </c>
      <c r="L44" s="1" t="s">
        <v>103</v>
      </c>
      <c r="Y44" s="1">
        <v>0</v>
      </c>
      <c r="Z44" s="1">
        <v>7</v>
      </c>
      <c r="AA44" s="1">
        <v>7</v>
      </c>
      <c r="AB44" s="1">
        <v>2</v>
      </c>
      <c r="AC44" s="1">
        <v>63.611538299999999</v>
      </c>
      <c r="AS44" s="1">
        <v>64.596090799999999</v>
      </c>
      <c r="AT44" s="1">
        <v>64.611232799999996</v>
      </c>
      <c r="AU44" s="1">
        <v>65.095095400000005</v>
      </c>
      <c r="BW44" s="1">
        <v>63.599227499999998</v>
      </c>
      <c r="BX44" s="1">
        <v>63.611538299999999</v>
      </c>
      <c r="BY44" s="1">
        <v>63.611538299999999</v>
      </c>
      <c r="BZ44" s="1">
        <v>64.595940299999995</v>
      </c>
      <c r="CA44" s="1" t="s">
        <v>134</v>
      </c>
      <c r="CB44" s="1">
        <v>0</v>
      </c>
      <c r="CC44" s="1">
        <v>0.96880129999999998</v>
      </c>
      <c r="CD44" s="1" t="s">
        <v>103</v>
      </c>
      <c r="CE44" s="1">
        <v>65.111218699999995</v>
      </c>
      <c r="CM44" s="1">
        <v>8</v>
      </c>
      <c r="CN44" s="1">
        <v>1</v>
      </c>
      <c r="CO44" s="1" t="s">
        <v>158</v>
      </c>
      <c r="CP44" s="1" t="s">
        <v>99</v>
      </c>
      <c r="CR44" s="1" t="s">
        <v>100</v>
      </c>
      <c r="CS44" s="1">
        <v>59.998944020000003</v>
      </c>
      <c r="CT44" s="1" t="s">
        <v>159</v>
      </c>
    </row>
    <row r="45" spans="2:98" x14ac:dyDescent="0.35">
      <c r="B45" s="1">
        <v>8</v>
      </c>
      <c r="C45" s="1">
        <v>8</v>
      </c>
      <c r="D45" s="1">
        <v>0</v>
      </c>
      <c r="G45" s="1" t="s">
        <v>138</v>
      </c>
      <c r="H45" s="1" t="s">
        <v>136</v>
      </c>
      <c r="I45" s="1" t="s">
        <v>134</v>
      </c>
      <c r="J45" s="1">
        <v>0</v>
      </c>
      <c r="K45" s="1">
        <v>0.50013750000000001</v>
      </c>
      <c r="L45" s="1" t="s">
        <v>103</v>
      </c>
      <c r="Y45" s="1">
        <v>0</v>
      </c>
      <c r="Z45" s="1">
        <v>8</v>
      </c>
      <c r="AA45" s="1">
        <v>8</v>
      </c>
      <c r="AB45" s="1">
        <v>0</v>
      </c>
      <c r="AC45" s="1">
        <v>65.111218699999995</v>
      </c>
      <c r="AS45" s="1">
        <v>65.6284864</v>
      </c>
      <c r="AT45" s="1">
        <v>65.644542599999994</v>
      </c>
      <c r="AU45" s="1">
        <v>66.1288117</v>
      </c>
      <c r="BW45" s="1">
        <v>65.100060900000003</v>
      </c>
      <c r="BX45" s="1">
        <v>65.111218699999995</v>
      </c>
      <c r="BY45" s="1">
        <v>65.111218699999995</v>
      </c>
      <c r="BZ45" s="1">
        <v>65.628364500000004</v>
      </c>
      <c r="CA45" s="1" t="s">
        <v>134</v>
      </c>
      <c r="CB45" s="1">
        <v>0</v>
      </c>
      <c r="CC45" s="1">
        <v>0.50013750000000001</v>
      </c>
      <c r="CD45" s="1" t="s">
        <v>103</v>
      </c>
      <c r="CM45" s="1">
        <v>8</v>
      </c>
      <c r="CN45" s="1">
        <v>1</v>
      </c>
      <c r="CO45" s="1" t="s">
        <v>158</v>
      </c>
      <c r="CP45" s="1" t="s">
        <v>99</v>
      </c>
      <c r="CR45" s="1" t="s">
        <v>100</v>
      </c>
      <c r="CS45" s="1">
        <v>59.998944020000003</v>
      </c>
      <c r="CT45" s="1" t="s">
        <v>159</v>
      </c>
    </row>
    <row r="46" spans="2:98" x14ac:dyDescent="0.35">
      <c r="B46" s="1">
        <v>9</v>
      </c>
      <c r="C46" s="1">
        <v>9</v>
      </c>
      <c r="D46" s="1">
        <v>0</v>
      </c>
      <c r="G46" s="1" t="s">
        <v>137</v>
      </c>
      <c r="H46" s="1" t="s">
        <v>136</v>
      </c>
      <c r="I46" s="1" t="s">
        <v>136</v>
      </c>
      <c r="J46" s="1">
        <v>1</v>
      </c>
      <c r="K46" s="1">
        <v>1.4404444999999999</v>
      </c>
      <c r="L46" s="1" t="s">
        <v>103</v>
      </c>
      <c r="Y46" s="1">
        <v>0</v>
      </c>
      <c r="Z46" s="1">
        <v>9</v>
      </c>
      <c r="AA46" s="1">
        <v>9</v>
      </c>
      <c r="AB46" s="1">
        <v>7</v>
      </c>
      <c r="AC46" s="1">
        <v>66.144633200000001</v>
      </c>
      <c r="AS46" s="1">
        <v>67.5952348</v>
      </c>
      <c r="AT46" s="1">
        <v>67.611483399999997</v>
      </c>
      <c r="AU46" s="1">
        <v>68.095526800000002</v>
      </c>
      <c r="BW46" s="1">
        <v>66.136634900000004</v>
      </c>
      <c r="BX46" s="1">
        <v>66.144633200000001</v>
      </c>
      <c r="BY46" s="1">
        <v>66.144633200000001</v>
      </c>
      <c r="BZ46" s="1">
        <v>67.595148300000005</v>
      </c>
      <c r="CA46" s="1" t="s">
        <v>136</v>
      </c>
      <c r="CB46" s="1">
        <v>1</v>
      </c>
      <c r="CC46" s="1">
        <v>1.4404444999999999</v>
      </c>
      <c r="CD46" s="1" t="s">
        <v>103</v>
      </c>
      <c r="CE46" s="1">
        <v>68.111929799999999</v>
      </c>
      <c r="CM46" s="1">
        <v>8</v>
      </c>
      <c r="CN46" s="1">
        <v>1</v>
      </c>
      <c r="CO46" s="1" t="s">
        <v>158</v>
      </c>
      <c r="CP46" s="1" t="s">
        <v>99</v>
      </c>
      <c r="CR46" s="1" t="s">
        <v>100</v>
      </c>
      <c r="CS46" s="1">
        <v>59.998944020000003</v>
      </c>
      <c r="CT46" s="1" t="s">
        <v>159</v>
      </c>
    </row>
    <row r="47" spans="2:98" x14ac:dyDescent="0.35">
      <c r="CF47" s="1">
        <v>68.095735300000001</v>
      </c>
      <c r="CG47" s="1">
        <v>68.111929799999999</v>
      </c>
      <c r="CH47" s="1">
        <v>68.111929799999999</v>
      </c>
      <c r="CI47" s="1">
        <v>73.229085699999999</v>
      </c>
      <c r="CJ47" s="1" t="s">
        <v>102</v>
      </c>
      <c r="CK47" s="1">
        <v>5.1096319000000001</v>
      </c>
      <c r="CL47" s="1" t="s">
        <v>103</v>
      </c>
      <c r="CM47" s="1">
        <v>8</v>
      </c>
      <c r="CN47" s="1">
        <v>1</v>
      </c>
      <c r="CO47" s="1" t="s">
        <v>158</v>
      </c>
      <c r="CP47" s="1" t="s">
        <v>99</v>
      </c>
      <c r="CR47" s="1" t="s">
        <v>100</v>
      </c>
      <c r="CS47" s="1">
        <v>59.998944020000003</v>
      </c>
      <c r="CT47" s="1" t="s">
        <v>159</v>
      </c>
    </row>
    <row r="49" spans="10:11" x14ac:dyDescent="0.35">
      <c r="J49" s="2">
        <f>AVERAGE(J37:J46)</f>
        <v>0.7</v>
      </c>
      <c r="K49" s="2">
        <f>AVERAGE(K37:K46)</f>
        <v>0.90628628000000011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43BD94-DDDC-4AD3-95E5-19347404C761}">
  <dimension ref="A1:CS49"/>
  <sheetViews>
    <sheetView topLeftCell="A35" workbookViewId="0">
      <selection activeCell="J42" sqref="J42"/>
    </sheetView>
  </sheetViews>
  <sheetFormatPr defaultRowHeight="14.5" x14ac:dyDescent="0.35"/>
  <cols>
    <col min="1" max="16384" width="8.7265625" style="1"/>
  </cols>
  <sheetData>
    <row r="1" spans="1:9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33</v>
      </c>
      <c r="AH1" s="1" t="s">
        <v>34</v>
      </c>
      <c r="AI1" s="1" t="s">
        <v>35</v>
      </c>
      <c r="AJ1" s="1" t="s">
        <v>36</v>
      </c>
      <c r="AK1" s="1" t="s">
        <v>37</v>
      </c>
      <c r="AL1" s="1" t="s">
        <v>38</v>
      </c>
      <c r="AM1" s="1" t="s">
        <v>39</v>
      </c>
      <c r="AN1" s="1" t="s">
        <v>40</v>
      </c>
      <c r="AO1" s="1" t="s">
        <v>41</v>
      </c>
      <c r="AP1" s="1" t="s">
        <v>42</v>
      </c>
      <c r="AQ1" s="1" t="s">
        <v>43</v>
      </c>
      <c r="AR1" s="1" t="s">
        <v>44</v>
      </c>
      <c r="AS1" s="1" t="s">
        <v>45</v>
      </c>
      <c r="AT1" s="1" t="s">
        <v>46</v>
      </c>
      <c r="AU1" s="1" t="s">
        <v>47</v>
      </c>
      <c r="AV1" s="1" t="s">
        <v>48</v>
      </c>
      <c r="AW1" s="1" t="s">
        <v>49</v>
      </c>
      <c r="AX1" s="1" t="s">
        <v>50</v>
      </c>
      <c r="AY1" s="1" t="s">
        <v>51</v>
      </c>
      <c r="AZ1" s="1" t="s">
        <v>52</v>
      </c>
      <c r="BA1" s="1" t="s">
        <v>53</v>
      </c>
      <c r="BB1" s="1" t="s">
        <v>54</v>
      </c>
      <c r="BC1" s="1" t="s">
        <v>55</v>
      </c>
      <c r="BD1" s="1" t="s">
        <v>56</v>
      </c>
      <c r="BE1" s="1" t="s">
        <v>57</v>
      </c>
      <c r="BF1" s="1" t="s">
        <v>58</v>
      </c>
      <c r="BG1" s="1" t="s">
        <v>59</v>
      </c>
      <c r="BH1" s="1" t="s">
        <v>60</v>
      </c>
      <c r="BI1" s="1" t="s">
        <v>61</v>
      </c>
      <c r="BJ1" s="1" t="s">
        <v>62</v>
      </c>
      <c r="BK1" s="1" t="s">
        <v>63</v>
      </c>
      <c r="BL1" s="1" t="s">
        <v>64</v>
      </c>
      <c r="BM1" s="1" t="s">
        <v>65</v>
      </c>
      <c r="BN1" s="1" t="s">
        <v>66</v>
      </c>
      <c r="BO1" s="1" t="s">
        <v>67</v>
      </c>
      <c r="BP1" s="1" t="s">
        <v>68</v>
      </c>
      <c r="BQ1" s="1" t="s">
        <v>69</v>
      </c>
      <c r="BR1" s="1" t="s">
        <v>70</v>
      </c>
      <c r="BS1" s="1" t="s">
        <v>71</v>
      </c>
      <c r="BT1" s="1" t="s">
        <v>72</v>
      </c>
      <c r="BU1" s="1" t="s">
        <v>73</v>
      </c>
      <c r="BV1" s="1" t="s">
        <v>74</v>
      </c>
      <c r="BW1" s="1" t="s">
        <v>75</v>
      </c>
      <c r="BX1" s="1" t="s">
        <v>76</v>
      </c>
      <c r="BY1" s="1" t="s">
        <v>77</v>
      </c>
      <c r="BZ1" s="1" t="s">
        <v>78</v>
      </c>
      <c r="CA1" s="1" t="s">
        <v>79</v>
      </c>
      <c r="CB1" s="1" t="s">
        <v>80</v>
      </c>
      <c r="CC1" s="1" t="s">
        <v>81</v>
      </c>
      <c r="CD1" s="1" t="s">
        <v>82</v>
      </c>
      <c r="CE1" s="1" t="s">
        <v>83</v>
      </c>
      <c r="CF1" s="1" t="s">
        <v>84</v>
      </c>
      <c r="CG1" s="1" t="s">
        <v>85</v>
      </c>
      <c r="CH1" s="1" t="s">
        <v>86</v>
      </c>
      <c r="CI1" s="1" t="s">
        <v>87</v>
      </c>
      <c r="CJ1" s="1" t="s">
        <v>88</v>
      </c>
      <c r="CK1" s="1" t="s">
        <v>89</v>
      </c>
      <c r="CL1" s="1" t="s">
        <v>90</v>
      </c>
      <c r="CM1" s="1" t="s">
        <v>91</v>
      </c>
      <c r="CN1" s="1" t="s">
        <v>92</v>
      </c>
      <c r="CO1" s="1" t="s">
        <v>93</v>
      </c>
      <c r="CP1" s="1" t="s">
        <v>94</v>
      </c>
      <c r="CQ1" s="1" t="s">
        <v>95</v>
      </c>
      <c r="CR1" s="1" t="s">
        <v>96</v>
      </c>
      <c r="CS1" s="1" t="s">
        <v>97</v>
      </c>
    </row>
    <row r="2" spans="1:97" x14ac:dyDescent="0.35">
      <c r="AE2" s="1">
        <v>1.9716999959200599E-3</v>
      </c>
      <c r="AF2" s="1">
        <v>4.7167000011540897E-3</v>
      </c>
      <c r="AG2" s="1">
        <v>3.0024930000072301</v>
      </c>
      <c r="CL2" s="1">
        <v>9</v>
      </c>
      <c r="CM2" s="1">
        <v>1</v>
      </c>
      <c r="CN2" s="1" t="s">
        <v>160</v>
      </c>
      <c r="CO2" s="1" t="s">
        <v>99</v>
      </c>
      <c r="CQ2" s="1" t="s">
        <v>100</v>
      </c>
      <c r="CR2" s="1">
        <v>60.237516512910197</v>
      </c>
      <c r="CS2" s="1" t="s">
        <v>161</v>
      </c>
    </row>
    <row r="3" spans="1:97" x14ac:dyDescent="0.35">
      <c r="AH3" s="1">
        <v>3.0025597999920102</v>
      </c>
      <c r="AI3" s="1">
        <v>3.0187579999910601</v>
      </c>
      <c r="AJ3" s="1">
        <v>3.0187579999910601</v>
      </c>
      <c r="AK3" s="1">
        <v>9.8803297000122203</v>
      </c>
      <c r="AL3" s="1" t="s">
        <v>102</v>
      </c>
      <c r="AM3" s="1">
        <v>6.85030679998453</v>
      </c>
      <c r="AN3" s="1" t="s">
        <v>103</v>
      </c>
      <c r="CL3" s="1">
        <v>9</v>
      </c>
      <c r="CM3" s="1">
        <v>1</v>
      </c>
      <c r="CN3" s="1" t="s">
        <v>160</v>
      </c>
      <c r="CO3" s="1" t="s">
        <v>99</v>
      </c>
      <c r="CQ3" s="1" t="s">
        <v>100</v>
      </c>
      <c r="CR3" s="1">
        <v>60.237516512910197</v>
      </c>
      <c r="CS3" s="1" t="s">
        <v>161</v>
      </c>
    </row>
    <row r="4" spans="1:97" x14ac:dyDescent="0.35">
      <c r="A4" s="1" t="s">
        <v>110</v>
      </c>
      <c r="B4" s="1">
        <v>0</v>
      </c>
      <c r="C4" s="1">
        <v>0</v>
      </c>
      <c r="D4" s="1">
        <v>0</v>
      </c>
      <c r="M4" s="1">
        <v>0</v>
      </c>
      <c r="N4" s="1">
        <v>0</v>
      </c>
      <c r="O4" s="1">
        <v>0</v>
      </c>
      <c r="P4" s="1">
        <v>7</v>
      </c>
      <c r="AC4" s="1">
        <v>9.89788980002049</v>
      </c>
      <c r="AO4" s="1">
        <v>9.8942167999921296</v>
      </c>
      <c r="AP4" s="1">
        <v>9.89788980002049</v>
      </c>
      <c r="AQ4" s="1">
        <v>10.8865418999921</v>
      </c>
      <c r="AR4" s="1">
        <v>10.8866044000023</v>
      </c>
      <c r="AS4" s="1">
        <v>10.9025491999927</v>
      </c>
      <c r="AT4" s="1">
        <v>11.3858533999882</v>
      </c>
      <c r="CL4" s="1">
        <v>9</v>
      </c>
      <c r="CM4" s="1">
        <v>1</v>
      </c>
      <c r="CN4" s="1" t="s">
        <v>160</v>
      </c>
      <c r="CO4" s="1" t="s">
        <v>99</v>
      </c>
      <c r="CQ4" s="1" t="s">
        <v>100</v>
      </c>
      <c r="CR4" s="1">
        <v>60.237516512910197</v>
      </c>
      <c r="CS4" s="1" t="s">
        <v>161</v>
      </c>
    </row>
    <row r="5" spans="1:97" x14ac:dyDescent="0.35">
      <c r="A5" s="1" t="s">
        <v>105</v>
      </c>
      <c r="B5" s="1">
        <v>1</v>
      </c>
      <c r="C5" s="1">
        <v>1</v>
      </c>
      <c r="D5" s="1">
        <v>0</v>
      </c>
      <c r="M5" s="1">
        <v>0</v>
      </c>
      <c r="N5" s="1">
        <v>1</v>
      </c>
      <c r="O5" s="1">
        <v>1</v>
      </c>
      <c r="P5" s="1">
        <v>1</v>
      </c>
      <c r="AC5" s="1">
        <v>11.402310999983399</v>
      </c>
      <c r="AO5" s="1">
        <v>11.3899558000266</v>
      </c>
      <c r="AP5" s="1">
        <v>11.402310999983399</v>
      </c>
      <c r="AQ5" s="1">
        <v>12.385955500009</v>
      </c>
      <c r="AR5" s="1">
        <v>12.386039400007499</v>
      </c>
      <c r="AS5" s="1">
        <v>12.4020380000001</v>
      </c>
      <c r="AT5" s="1">
        <v>12.8854275000048</v>
      </c>
      <c r="CL5" s="1">
        <v>9</v>
      </c>
      <c r="CM5" s="1">
        <v>1</v>
      </c>
      <c r="CN5" s="1" t="s">
        <v>160</v>
      </c>
      <c r="CO5" s="1" t="s">
        <v>99</v>
      </c>
      <c r="CQ5" s="1" t="s">
        <v>100</v>
      </c>
      <c r="CR5" s="1">
        <v>60.237516512910197</v>
      </c>
      <c r="CS5" s="1" t="s">
        <v>161</v>
      </c>
    </row>
    <row r="6" spans="1:97" x14ac:dyDescent="0.35">
      <c r="A6" s="1" t="s">
        <v>104</v>
      </c>
      <c r="B6" s="1">
        <v>2</v>
      </c>
      <c r="C6" s="1">
        <v>2</v>
      </c>
      <c r="D6" s="1">
        <v>0</v>
      </c>
      <c r="M6" s="1">
        <v>0</v>
      </c>
      <c r="N6" s="1">
        <v>2</v>
      </c>
      <c r="O6" s="1">
        <v>2</v>
      </c>
      <c r="P6" s="1">
        <v>2</v>
      </c>
      <c r="AC6" s="1">
        <v>12.9020210999879</v>
      </c>
      <c r="AO6" s="1">
        <v>12.888875100004901</v>
      </c>
      <c r="AP6" s="1">
        <v>12.9020210999879</v>
      </c>
      <c r="AQ6" s="1">
        <v>13.8858569000149</v>
      </c>
      <c r="AR6" s="1">
        <v>13.8860116000287</v>
      </c>
      <c r="AS6" s="1">
        <v>13.9023404000326</v>
      </c>
      <c r="AT6" s="1">
        <v>14.385962500004</v>
      </c>
      <c r="CL6" s="1">
        <v>9</v>
      </c>
      <c r="CM6" s="1">
        <v>1</v>
      </c>
      <c r="CN6" s="1" t="s">
        <v>160</v>
      </c>
      <c r="CO6" s="1" t="s">
        <v>99</v>
      </c>
      <c r="CQ6" s="1" t="s">
        <v>100</v>
      </c>
      <c r="CR6" s="1">
        <v>60.237516512910197</v>
      </c>
      <c r="CS6" s="1" t="s">
        <v>161</v>
      </c>
    </row>
    <row r="7" spans="1:97" x14ac:dyDescent="0.35">
      <c r="A7" s="1" t="s">
        <v>113</v>
      </c>
      <c r="B7" s="1">
        <v>3</v>
      </c>
      <c r="C7" s="1">
        <v>3</v>
      </c>
      <c r="D7" s="1">
        <v>0</v>
      </c>
      <c r="M7" s="1">
        <v>0</v>
      </c>
      <c r="N7" s="1">
        <v>3</v>
      </c>
      <c r="O7" s="1">
        <v>3</v>
      </c>
      <c r="P7" s="1">
        <v>5</v>
      </c>
      <c r="AC7" s="1">
        <v>14.4023184999823</v>
      </c>
      <c r="AO7" s="1">
        <v>14.3905746000236</v>
      </c>
      <c r="AP7" s="1">
        <v>14.4023184999823</v>
      </c>
      <c r="AQ7" s="1">
        <v>15.3861094000167</v>
      </c>
      <c r="AR7" s="1">
        <v>15.3861899999901</v>
      </c>
      <c r="AS7" s="1">
        <v>15.402585800038599</v>
      </c>
      <c r="AT7" s="1">
        <v>15.885494499991101</v>
      </c>
      <c r="CL7" s="1">
        <v>9</v>
      </c>
      <c r="CM7" s="1">
        <v>1</v>
      </c>
      <c r="CN7" s="1" t="s">
        <v>160</v>
      </c>
      <c r="CO7" s="1" t="s">
        <v>99</v>
      </c>
      <c r="CQ7" s="1" t="s">
        <v>100</v>
      </c>
      <c r="CR7" s="1">
        <v>60.237516512910197</v>
      </c>
      <c r="CS7" s="1" t="s">
        <v>161</v>
      </c>
    </row>
    <row r="8" spans="1:97" x14ac:dyDescent="0.35">
      <c r="A8" s="1" t="s">
        <v>109</v>
      </c>
      <c r="B8" s="1">
        <v>4</v>
      </c>
      <c r="C8" s="1">
        <v>4</v>
      </c>
      <c r="D8" s="1">
        <v>0</v>
      </c>
      <c r="M8" s="1">
        <v>0</v>
      </c>
      <c r="N8" s="1">
        <v>4</v>
      </c>
      <c r="O8" s="1">
        <v>4</v>
      </c>
      <c r="P8" s="1">
        <v>8</v>
      </c>
      <c r="AC8" s="1">
        <v>15.902224700024799</v>
      </c>
      <c r="AO8" s="1">
        <v>15.8889022000366</v>
      </c>
      <c r="AP8" s="1">
        <v>15.902224700024799</v>
      </c>
      <c r="AQ8" s="1">
        <v>16.885330000019099</v>
      </c>
      <c r="AR8" s="1">
        <v>16.885391200019502</v>
      </c>
      <c r="AS8" s="1">
        <v>16.902368800016099</v>
      </c>
      <c r="AT8" s="1">
        <v>17.3861750999931</v>
      </c>
      <c r="CL8" s="1">
        <v>9</v>
      </c>
      <c r="CM8" s="1">
        <v>1</v>
      </c>
      <c r="CN8" s="1" t="s">
        <v>160</v>
      </c>
      <c r="CO8" s="1" t="s">
        <v>99</v>
      </c>
      <c r="CQ8" s="1" t="s">
        <v>100</v>
      </c>
      <c r="CR8" s="1">
        <v>60.237516512910197</v>
      </c>
      <c r="CS8" s="1" t="s">
        <v>161</v>
      </c>
    </row>
    <row r="9" spans="1:97" x14ac:dyDescent="0.35">
      <c r="A9" s="1" t="s">
        <v>112</v>
      </c>
      <c r="B9" s="1">
        <v>5</v>
      </c>
      <c r="C9" s="1">
        <v>5</v>
      </c>
      <c r="D9" s="1">
        <v>0</v>
      </c>
      <c r="M9" s="1">
        <v>0</v>
      </c>
      <c r="N9" s="1">
        <v>5</v>
      </c>
      <c r="O9" s="1">
        <v>5</v>
      </c>
      <c r="P9" s="1">
        <v>6</v>
      </c>
      <c r="AC9" s="1">
        <v>17.402471699984702</v>
      </c>
      <c r="AO9" s="1">
        <v>17.391999899991699</v>
      </c>
      <c r="AP9" s="1">
        <v>17.402471699984702</v>
      </c>
      <c r="AQ9" s="1">
        <v>18.385609099990599</v>
      </c>
      <c r="AR9" s="1">
        <v>18.385695300006699</v>
      </c>
      <c r="AS9" s="1">
        <v>18.401944599987399</v>
      </c>
      <c r="AT9" s="1">
        <v>18.885779300006099</v>
      </c>
      <c r="CL9" s="1">
        <v>9</v>
      </c>
      <c r="CM9" s="1">
        <v>1</v>
      </c>
      <c r="CN9" s="1" t="s">
        <v>160</v>
      </c>
      <c r="CO9" s="1" t="s">
        <v>99</v>
      </c>
      <c r="CQ9" s="1" t="s">
        <v>100</v>
      </c>
      <c r="CR9" s="1">
        <v>60.237516512910197</v>
      </c>
      <c r="CS9" s="1" t="s">
        <v>161</v>
      </c>
    </row>
    <row r="10" spans="1:97" x14ac:dyDescent="0.35">
      <c r="A10" s="1" t="s">
        <v>111</v>
      </c>
      <c r="B10" s="1">
        <v>6</v>
      </c>
      <c r="C10" s="1">
        <v>6</v>
      </c>
      <c r="D10" s="1">
        <v>0</v>
      </c>
      <c r="M10" s="1">
        <v>0</v>
      </c>
      <c r="N10" s="1">
        <v>6</v>
      </c>
      <c r="O10" s="1">
        <v>6</v>
      </c>
      <c r="P10" s="1">
        <v>3</v>
      </c>
      <c r="AC10" s="1">
        <v>18.902320199995302</v>
      </c>
      <c r="AO10" s="1">
        <v>18.890708399994701</v>
      </c>
      <c r="AP10" s="1">
        <v>18.902320199995302</v>
      </c>
      <c r="AQ10" s="1">
        <v>19.887092399992898</v>
      </c>
      <c r="AR10" s="1">
        <v>19.8871936000068</v>
      </c>
      <c r="AS10" s="1">
        <v>19.9024317000294</v>
      </c>
      <c r="AT10" s="1">
        <v>20.3855200000107</v>
      </c>
      <c r="CL10" s="1">
        <v>9</v>
      </c>
      <c r="CM10" s="1">
        <v>1</v>
      </c>
      <c r="CN10" s="1" t="s">
        <v>160</v>
      </c>
      <c r="CO10" s="1" t="s">
        <v>99</v>
      </c>
      <c r="CQ10" s="1" t="s">
        <v>100</v>
      </c>
      <c r="CR10" s="1">
        <v>60.237516512910197</v>
      </c>
      <c r="CS10" s="1" t="s">
        <v>161</v>
      </c>
    </row>
    <row r="11" spans="1:97" x14ac:dyDescent="0.35">
      <c r="A11" s="1" t="s">
        <v>107</v>
      </c>
      <c r="B11" s="1">
        <v>7</v>
      </c>
      <c r="C11" s="1">
        <v>7</v>
      </c>
      <c r="D11" s="1">
        <v>0</v>
      </c>
      <c r="M11" s="1">
        <v>0</v>
      </c>
      <c r="N11" s="1">
        <v>7</v>
      </c>
      <c r="O11" s="1">
        <v>7</v>
      </c>
      <c r="P11" s="1">
        <v>9</v>
      </c>
      <c r="AC11" s="1">
        <v>20.402083799999598</v>
      </c>
      <c r="AO11" s="1">
        <v>20.3886030000285</v>
      </c>
      <c r="AP11" s="1">
        <v>20.402083799999598</v>
      </c>
      <c r="AQ11" s="1">
        <v>21.3852374000125</v>
      </c>
      <c r="AR11" s="1">
        <v>21.385290200007098</v>
      </c>
      <c r="AS11" s="1">
        <v>21.401533099997302</v>
      </c>
      <c r="AT11" s="1">
        <v>21.885080300038599</v>
      </c>
      <c r="CL11" s="1">
        <v>9</v>
      </c>
      <c r="CM11" s="1">
        <v>1</v>
      </c>
      <c r="CN11" s="1" t="s">
        <v>160</v>
      </c>
      <c r="CO11" s="1" t="s">
        <v>99</v>
      </c>
      <c r="CQ11" s="1" t="s">
        <v>100</v>
      </c>
      <c r="CR11" s="1">
        <v>60.237516512910197</v>
      </c>
      <c r="CS11" s="1" t="s">
        <v>161</v>
      </c>
    </row>
    <row r="12" spans="1:97" x14ac:dyDescent="0.35">
      <c r="A12" s="1" t="s">
        <v>106</v>
      </c>
      <c r="B12" s="1">
        <v>8</v>
      </c>
      <c r="C12" s="1">
        <v>8</v>
      </c>
      <c r="D12" s="1">
        <v>0</v>
      </c>
      <c r="M12" s="1">
        <v>0</v>
      </c>
      <c r="N12" s="1">
        <v>8</v>
      </c>
      <c r="O12" s="1">
        <v>8</v>
      </c>
      <c r="P12" s="1">
        <v>0</v>
      </c>
      <c r="AC12" s="1">
        <v>21.901569599984199</v>
      </c>
      <c r="AO12" s="1">
        <v>21.887840299983498</v>
      </c>
      <c r="AP12" s="1">
        <v>21.901569599984199</v>
      </c>
      <c r="AQ12" s="1">
        <v>22.885645600035701</v>
      </c>
      <c r="AR12" s="1">
        <v>22.8857076999847</v>
      </c>
      <c r="AS12" s="1">
        <v>22.902400600025398</v>
      </c>
      <c r="AT12" s="1">
        <v>23.386164100025699</v>
      </c>
      <c r="CL12" s="1">
        <v>9</v>
      </c>
      <c r="CM12" s="1">
        <v>1</v>
      </c>
      <c r="CN12" s="1" t="s">
        <v>160</v>
      </c>
      <c r="CO12" s="1" t="s">
        <v>99</v>
      </c>
      <c r="CQ12" s="1" t="s">
        <v>100</v>
      </c>
      <c r="CR12" s="1">
        <v>60.237516512910197</v>
      </c>
      <c r="CS12" s="1" t="s">
        <v>161</v>
      </c>
    </row>
    <row r="13" spans="1:97" x14ac:dyDescent="0.35">
      <c r="A13" s="1" t="s">
        <v>108</v>
      </c>
      <c r="B13" s="1">
        <v>9</v>
      </c>
      <c r="C13" s="1">
        <v>9</v>
      </c>
      <c r="D13" s="1">
        <v>0</v>
      </c>
      <c r="M13" s="1">
        <v>0</v>
      </c>
      <c r="N13" s="1">
        <v>9</v>
      </c>
      <c r="O13" s="1">
        <v>9</v>
      </c>
      <c r="P13" s="1">
        <v>4</v>
      </c>
      <c r="AC13" s="1">
        <v>23.4022051999927</v>
      </c>
      <c r="AO13" s="1">
        <v>23.3909192000282</v>
      </c>
      <c r="AP13" s="1">
        <v>23.4022051999927</v>
      </c>
      <c r="AQ13" s="1">
        <v>24.386066300037701</v>
      </c>
      <c r="AR13" s="1">
        <v>24.386174999992299</v>
      </c>
      <c r="AS13" s="1">
        <v>24.402319299988399</v>
      </c>
      <c r="AT13" s="1">
        <v>24.886203200032401</v>
      </c>
      <c r="CL13" s="1">
        <v>9</v>
      </c>
      <c r="CM13" s="1">
        <v>1</v>
      </c>
      <c r="CN13" s="1" t="s">
        <v>160</v>
      </c>
      <c r="CO13" s="1" t="s">
        <v>99</v>
      </c>
      <c r="CQ13" s="1" t="s">
        <v>100</v>
      </c>
      <c r="CR13" s="1">
        <v>60.237516512910197</v>
      </c>
      <c r="CS13" s="1" t="s">
        <v>161</v>
      </c>
    </row>
    <row r="14" spans="1:97" x14ac:dyDescent="0.35">
      <c r="B14" s="1">
        <v>0</v>
      </c>
      <c r="C14" s="1">
        <v>0</v>
      </c>
      <c r="D14" s="1">
        <v>0</v>
      </c>
      <c r="E14" s="1" t="s">
        <v>116</v>
      </c>
      <c r="Q14" s="1">
        <v>0</v>
      </c>
      <c r="R14" s="1">
        <v>0</v>
      </c>
      <c r="S14" s="1">
        <v>0</v>
      </c>
      <c r="T14" s="1">
        <v>0</v>
      </c>
      <c r="AC14" s="1">
        <v>24.9020585000398</v>
      </c>
      <c r="AR14" s="1">
        <v>25.885569200036102</v>
      </c>
      <c r="AS14" s="1">
        <v>25.902303399983701</v>
      </c>
      <c r="AT14" s="1">
        <v>26.3853400000371</v>
      </c>
      <c r="AU14" s="1">
        <v>24.8973080000141</v>
      </c>
      <c r="AV14" s="1">
        <v>24.9020585000398</v>
      </c>
      <c r="AW14" s="1">
        <v>25.885508300038001</v>
      </c>
      <c r="CL14" s="1">
        <v>9</v>
      </c>
      <c r="CM14" s="1">
        <v>1</v>
      </c>
      <c r="CN14" s="1" t="s">
        <v>160</v>
      </c>
      <c r="CO14" s="1" t="s">
        <v>99</v>
      </c>
      <c r="CQ14" s="1" t="s">
        <v>100</v>
      </c>
      <c r="CR14" s="1">
        <v>60.237516512910197</v>
      </c>
      <c r="CS14" s="1" t="s">
        <v>161</v>
      </c>
    </row>
    <row r="15" spans="1:97" x14ac:dyDescent="0.35">
      <c r="B15" s="1">
        <v>1</v>
      </c>
      <c r="C15" s="1">
        <v>1</v>
      </c>
      <c r="D15" s="1">
        <v>0</v>
      </c>
      <c r="E15" s="1" t="s">
        <v>121</v>
      </c>
      <c r="Q15" s="1">
        <v>0</v>
      </c>
      <c r="R15" s="1">
        <v>1</v>
      </c>
      <c r="S15" s="1">
        <v>1</v>
      </c>
      <c r="T15" s="1">
        <v>3</v>
      </c>
      <c r="AC15" s="1">
        <v>26.401722999988099</v>
      </c>
      <c r="AR15" s="1">
        <v>27.386098799994201</v>
      </c>
      <c r="AS15" s="1">
        <v>27.402134700038001</v>
      </c>
      <c r="AT15" s="1">
        <v>27.885507300030401</v>
      </c>
      <c r="AU15" s="1">
        <v>26.388159700029</v>
      </c>
      <c r="AV15" s="1">
        <v>26.401722999988099</v>
      </c>
      <c r="AW15" s="1">
        <v>27.386003700026698</v>
      </c>
      <c r="CL15" s="1">
        <v>9</v>
      </c>
      <c r="CM15" s="1">
        <v>1</v>
      </c>
      <c r="CN15" s="1" t="s">
        <v>160</v>
      </c>
      <c r="CO15" s="1" t="s">
        <v>99</v>
      </c>
      <c r="CQ15" s="1" t="s">
        <v>100</v>
      </c>
      <c r="CR15" s="1">
        <v>60.237516512910197</v>
      </c>
      <c r="CS15" s="1" t="s">
        <v>161</v>
      </c>
    </row>
    <row r="16" spans="1:97" x14ac:dyDescent="0.35">
      <c r="B16" s="1">
        <v>2</v>
      </c>
      <c r="C16" s="1">
        <v>2</v>
      </c>
      <c r="D16" s="1">
        <v>0</v>
      </c>
      <c r="E16" s="1" t="s">
        <v>115</v>
      </c>
      <c r="Q16" s="1">
        <v>0</v>
      </c>
      <c r="R16" s="1">
        <v>2</v>
      </c>
      <c r="S16" s="1">
        <v>2</v>
      </c>
      <c r="T16" s="1">
        <v>7</v>
      </c>
      <c r="AC16" s="1">
        <v>27.902156200027001</v>
      </c>
      <c r="AR16" s="1">
        <v>28.886311499984</v>
      </c>
      <c r="AS16" s="1">
        <v>28.902300200017599</v>
      </c>
      <c r="AT16" s="1">
        <v>29.3873231000034</v>
      </c>
      <c r="AU16" s="1">
        <v>27.8903651</v>
      </c>
      <c r="AV16" s="1">
        <v>27.902156200027001</v>
      </c>
      <c r="AW16" s="1">
        <v>28.886115900008001</v>
      </c>
      <c r="CL16" s="1">
        <v>9</v>
      </c>
      <c r="CM16" s="1">
        <v>1</v>
      </c>
      <c r="CN16" s="1" t="s">
        <v>160</v>
      </c>
      <c r="CO16" s="1" t="s">
        <v>99</v>
      </c>
      <c r="CQ16" s="1" t="s">
        <v>100</v>
      </c>
      <c r="CR16" s="1">
        <v>60.237516512910197</v>
      </c>
      <c r="CS16" s="1" t="s">
        <v>161</v>
      </c>
    </row>
    <row r="17" spans="2:97" x14ac:dyDescent="0.35">
      <c r="B17" s="1">
        <v>3</v>
      </c>
      <c r="C17" s="1">
        <v>3</v>
      </c>
      <c r="D17" s="1">
        <v>0</v>
      </c>
      <c r="E17" s="1" t="s">
        <v>117</v>
      </c>
      <c r="Q17" s="1">
        <v>0</v>
      </c>
      <c r="R17" s="1">
        <v>3</v>
      </c>
      <c r="S17" s="1">
        <v>3</v>
      </c>
      <c r="T17" s="1">
        <v>1</v>
      </c>
      <c r="AC17" s="1">
        <v>29.401974499982298</v>
      </c>
      <c r="AR17" s="1">
        <v>30.38584360003</v>
      </c>
      <c r="AS17" s="1">
        <v>30.401575200026802</v>
      </c>
      <c r="AT17" s="1">
        <v>30.8855067000258</v>
      </c>
      <c r="AU17" s="1">
        <v>29.391502399987001</v>
      </c>
      <c r="AV17" s="1">
        <v>29.401974499982298</v>
      </c>
      <c r="AW17" s="1">
        <v>30.385756600007799</v>
      </c>
      <c r="CL17" s="1">
        <v>9</v>
      </c>
      <c r="CM17" s="1">
        <v>1</v>
      </c>
      <c r="CN17" s="1" t="s">
        <v>160</v>
      </c>
      <c r="CO17" s="1" t="s">
        <v>99</v>
      </c>
      <c r="CQ17" s="1" t="s">
        <v>100</v>
      </c>
      <c r="CR17" s="1">
        <v>60.237516512910197</v>
      </c>
      <c r="CS17" s="1" t="s">
        <v>161</v>
      </c>
    </row>
    <row r="18" spans="2:97" x14ac:dyDescent="0.35">
      <c r="B18" s="1">
        <v>4</v>
      </c>
      <c r="C18" s="1">
        <v>4</v>
      </c>
      <c r="D18" s="1">
        <v>0</v>
      </c>
      <c r="E18" s="1" t="s">
        <v>122</v>
      </c>
      <c r="Q18" s="1">
        <v>0</v>
      </c>
      <c r="R18" s="1">
        <v>4</v>
      </c>
      <c r="S18" s="1">
        <v>4</v>
      </c>
      <c r="T18" s="1">
        <v>8</v>
      </c>
      <c r="AC18" s="1">
        <v>30.902088300033899</v>
      </c>
      <c r="AR18" s="1">
        <v>31.885862900002302</v>
      </c>
      <c r="AS18" s="1">
        <v>31.902537100017</v>
      </c>
      <c r="AT18" s="1">
        <v>32.385720900027003</v>
      </c>
      <c r="AU18" s="1">
        <v>30.8903606000239</v>
      </c>
      <c r="AV18" s="1">
        <v>30.902088300033899</v>
      </c>
      <c r="AW18" s="1">
        <v>31.885815399989902</v>
      </c>
      <c r="CL18" s="1">
        <v>9</v>
      </c>
      <c r="CM18" s="1">
        <v>1</v>
      </c>
      <c r="CN18" s="1" t="s">
        <v>160</v>
      </c>
      <c r="CO18" s="1" t="s">
        <v>99</v>
      </c>
      <c r="CQ18" s="1" t="s">
        <v>100</v>
      </c>
      <c r="CR18" s="1">
        <v>60.237516512910197</v>
      </c>
      <c r="CS18" s="1" t="s">
        <v>161</v>
      </c>
    </row>
    <row r="19" spans="2:97" x14ac:dyDescent="0.35">
      <c r="B19" s="1">
        <v>5</v>
      </c>
      <c r="C19" s="1">
        <v>5</v>
      </c>
      <c r="D19" s="1">
        <v>0</v>
      </c>
      <c r="E19" s="1" t="s">
        <v>118</v>
      </c>
      <c r="Q19" s="1">
        <v>0</v>
      </c>
      <c r="R19" s="1">
        <v>5</v>
      </c>
      <c r="S19" s="1">
        <v>5</v>
      </c>
      <c r="T19" s="1">
        <v>6</v>
      </c>
      <c r="AC19" s="1">
        <v>32.402086200017898</v>
      </c>
      <c r="AR19" s="1">
        <v>33.385791000036903</v>
      </c>
      <c r="AS19" s="1">
        <v>33.402156700030901</v>
      </c>
      <c r="AT19" s="1">
        <v>33.886143099982199</v>
      </c>
      <c r="AU19" s="1">
        <v>32.3894284000271</v>
      </c>
      <c r="AV19" s="1">
        <v>32.402086200017898</v>
      </c>
      <c r="AW19" s="1">
        <v>33.385714900039602</v>
      </c>
      <c r="CL19" s="1">
        <v>9</v>
      </c>
      <c r="CM19" s="1">
        <v>1</v>
      </c>
      <c r="CN19" s="1" t="s">
        <v>160</v>
      </c>
      <c r="CO19" s="1" t="s">
        <v>99</v>
      </c>
      <c r="CQ19" s="1" t="s">
        <v>100</v>
      </c>
      <c r="CR19" s="1">
        <v>60.237516512910197</v>
      </c>
      <c r="CS19" s="1" t="s">
        <v>161</v>
      </c>
    </row>
    <row r="20" spans="2:97" x14ac:dyDescent="0.35">
      <c r="B20" s="1">
        <v>6</v>
      </c>
      <c r="C20" s="1">
        <v>6</v>
      </c>
      <c r="D20" s="1">
        <v>0</v>
      </c>
      <c r="E20" s="1" t="s">
        <v>123</v>
      </c>
      <c r="Q20" s="1">
        <v>0</v>
      </c>
      <c r="R20" s="1">
        <v>6</v>
      </c>
      <c r="S20" s="1">
        <v>6</v>
      </c>
      <c r="T20" s="1">
        <v>2</v>
      </c>
      <c r="AC20" s="1">
        <v>33.901976599998299</v>
      </c>
      <c r="AR20" s="1">
        <v>34.885414400021503</v>
      </c>
      <c r="AS20" s="1">
        <v>34.9017633000039</v>
      </c>
      <c r="AT20" s="1">
        <v>35.385183500009497</v>
      </c>
      <c r="AU20" s="1">
        <v>33.891094000020502</v>
      </c>
      <c r="AV20" s="1">
        <v>33.901976599998299</v>
      </c>
      <c r="AW20" s="1">
        <v>34.885359600011697</v>
      </c>
      <c r="CL20" s="1">
        <v>9</v>
      </c>
      <c r="CM20" s="1">
        <v>1</v>
      </c>
      <c r="CN20" s="1" t="s">
        <v>160</v>
      </c>
      <c r="CO20" s="1" t="s">
        <v>99</v>
      </c>
      <c r="CQ20" s="1" t="s">
        <v>100</v>
      </c>
      <c r="CR20" s="1">
        <v>60.237516512910197</v>
      </c>
      <c r="CS20" s="1" t="s">
        <v>161</v>
      </c>
    </row>
    <row r="21" spans="2:97" x14ac:dyDescent="0.35">
      <c r="B21" s="1">
        <v>7</v>
      </c>
      <c r="C21" s="1">
        <v>7</v>
      </c>
      <c r="D21" s="1">
        <v>0</v>
      </c>
      <c r="E21" s="1" t="s">
        <v>119</v>
      </c>
      <c r="Q21" s="1">
        <v>0</v>
      </c>
      <c r="R21" s="1">
        <v>7</v>
      </c>
      <c r="S21" s="1">
        <v>7</v>
      </c>
      <c r="T21" s="1">
        <v>9</v>
      </c>
      <c r="AC21" s="1">
        <v>35.4017359000281</v>
      </c>
      <c r="AR21" s="1">
        <v>36.399625800026101</v>
      </c>
      <c r="AS21" s="1">
        <v>36.4076137000229</v>
      </c>
      <c r="AT21" s="1">
        <v>36.8858039000188</v>
      </c>
      <c r="AU21" s="1">
        <v>35.388331900001504</v>
      </c>
      <c r="AV21" s="1">
        <v>35.4017359000281</v>
      </c>
      <c r="AW21" s="1">
        <v>36.399564500025001</v>
      </c>
      <c r="CL21" s="1">
        <v>9</v>
      </c>
      <c r="CM21" s="1">
        <v>1</v>
      </c>
      <c r="CN21" s="1" t="s">
        <v>160</v>
      </c>
      <c r="CO21" s="1" t="s">
        <v>99</v>
      </c>
      <c r="CQ21" s="1" t="s">
        <v>100</v>
      </c>
      <c r="CR21" s="1">
        <v>60.237516512910197</v>
      </c>
      <c r="CS21" s="1" t="s">
        <v>161</v>
      </c>
    </row>
    <row r="22" spans="2:97" x14ac:dyDescent="0.35">
      <c r="B22" s="1">
        <v>8</v>
      </c>
      <c r="C22" s="1">
        <v>8</v>
      </c>
      <c r="D22" s="1">
        <v>0</v>
      </c>
      <c r="E22" s="1" t="s">
        <v>114</v>
      </c>
      <c r="Q22" s="1">
        <v>0</v>
      </c>
      <c r="R22" s="1">
        <v>8</v>
      </c>
      <c r="S22" s="1">
        <v>8</v>
      </c>
      <c r="T22" s="1">
        <v>5</v>
      </c>
      <c r="AC22" s="1">
        <v>36.902167699998202</v>
      </c>
      <c r="AR22" s="1">
        <v>37.885106100002297</v>
      </c>
      <c r="AS22" s="1">
        <v>37.901526700006798</v>
      </c>
      <c r="AT22" s="1">
        <v>38.385349999996798</v>
      </c>
      <c r="AU22" s="1">
        <v>36.891531100030903</v>
      </c>
      <c r="AV22" s="1">
        <v>36.902167699998202</v>
      </c>
      <c r="AW22" s="1">
        <v>37.885044299997297</v>
      </c>
      <c r="CL22" s="1">
        <v>9</v>
      </c>
      <c r="CM22" s="1">
        <v>1</v>
      </c>
      <c r="CN22" s="1" t="s">
        <v>160</v>
      </c>
      <c r="CO22" s="1" t="s">
        <v>99</v>
      </c>
      <c r="CQ22" s="1" t="s">
        <v>100</v>
      </c>
      <c r="CR22" s="1">
        <v>60.237516512910197</v>
      </c>
      <c r="CS22" s="1" t="s">
        <v>161</v>
      </c>
    </row>
    <row r="23" spans="2:97" x14ac:dyDescent="0.35">
      <c r="B23" s="1">
        <v>9</v>
      </c>
      <c r="C23" s="1">
        <v>9</v>
      </c>
      <c r="D23" s="1">
        <v>0</v>
      </c>
      <c r="E23" s="1" t="s">
        <v>120</v>
      </c>
      <c r="Q23" s="1">
        <v>0</v>
      </c>
      <c r="R23" s="1">
        <v>9</v>
      </c>
      <c r="S23" s="1">
        <v>9</v>
      </c>
      <c r="T23" s="1">
        <v>4</v>
      </c>
      <c r="AC23" s="1">
        <v>38.4014489999972</v>
      </c>
      <c r="AR23" s="1">
        <v>39.3860652000294</v>
      </c>
      <c r="AS23" s="1">
        <v>39.401824000000403</v>
      </c>
      <c r="AT23" s="1">
        <v>39.884964100026899</v>
      </c>
      <c r="AU23" s="1">
        <v>38.389055200037497</v>
      </c>
      <c r="AV23" s="1">
        <v>38.4014489999972</v>
      </c>
      <c r="AW23" s="1">
        <v>39.3858504000236</v>
      </c>
      <c r="CL23" s="1">
        <v>9</v>
      </c>
      <c r="CM23" s="1">
        <v>1</v>
      </c>
      <c r="CN23" s="1" t="s">
        <v>160</v>
      </c>
      <c r="CO23" s="1" t="s">
        <v>99</v>
      </c>
      <c r="CQ23" s="1" t="s">
        <v>100</v>
      </c>
      <c r="CR23" s="1">
        <v>60.237516512910197</v>
      </c>
      <c r="CS23" s="1" t="s">
        <v>161</v>
      </c>
    </row>
    <row r="24" spans="2:97" x14ac:dyDescent="0.35">
      <c r="B24" s="1">
        <v>0</v>
      </c>
      <c r="C24" s="1">
        <v>0</v>
      </c>
      <c r="D24" s="1">
        <v>0</v>
      </c>
      <c r="F24" s="1" t="s">
        <v>131</v>
      </c>
      <c r="U24" s="1">
        <v>0</v>
      </c>
      <c r="V24" s="1">
        <v>0</v>
      </c>
      <c r="W24" s="1">
        <v>0</v>
      </c>
      <c r="X24" s="1">
        <v>2</v>
      </c>
      <c r="AC24" s="1">
        <v>40.001092999998903</v>
      </c>
      <c r="AR24" s="1">
        <v>40.8859465999994</v>
      </c>
      <c r="AS24" s="1">
        <v>40.901658700022303</v>
      </c>
      <c r="AT24" s="1">
        <v>41.385943400033199</v>
      </c>
      <c r="AX24" s="1">
        <v>39.997615300002501</v>
      </c>
      <c r="AY24" s="1">
        <v>40.001092999998903</v>
      </c>
      <c r="AZ24" s="1">
        <v>40.885879300010799</v>
      </c>
      <c r="CL24" s="1">
        <v>9</v>
      </c>
      <c r="CM24" s="1">
        <v>1</v>
      </c>
      <c r="CN24" s="1" t="s">
        <v>160</v>
      </c>
      <c r="CO24" s="1" t="s">
        <v>99</v>
      </c>
      <c r="CQ24" s="1" t="s">
        <v>100</v>
      </c>
      <c r="CR24" s="1">
        <v>60.237516512910197</v>
      </c>
      <c r="CS24" s="1" t="s">
        <v>161</v>
      </c>
    </row>
    <row r="25" spans="2:97" x14ac:dyDescent="0.35">
      <c r="B25" s="1">
        <v>1</v>
      </c>
      <c r="C25" s="1">
        <v>1</v>
      </c>
      <c r="D25" s="1">
        <v>0</v>
      </c>
      <c r="F25" s="1" t="s">
        <v>129</v>
      </c>
      <c r="U25" s="1">
        <v>0</v>
      </c>
      <c r="V25" s="1">
        <v>1</v>
      </c>
      <c r="W25" s="1">
        <v>1</v>
      </c>
      <c r="X25" s="1">
        <v>0</v>
      </c>
      <c r="AC25" s="1">
        <v>41.401613000023602</v>
      </c>
      <c r="AR25" s="1">
        <v>42.385790400032398</v>
      </c>
      <c r="AS25" s="1">
        <v>42.402053600002503</v>
      </c>
      <c r="AT25" s="1">
        <v>42.885256499983299</v>
      </c>
      <c r="AX25" s="1">
        <v>41.3914100999827</v>
      </c>
      <c r="AY25" s="1">
        <v>41.401613000023602</v>
      </c>
      <c r="AZ25" s="1">
        <v>42.385725700005402</v>
      </c>
      <c r="CL25" s="1">
        <v>9</v>
      </c>
      <c r="CM25" s="1">
        <v>1</v>
      </c>
      <c r="CN25" s="1" t="s">
        <v>160</v>
      </c>
      <c r="CO25" s="1" t="s">
        <v>99</v>
      </c>
      <c r="CQ25" s="1" t="s">
        <v>100</v>
      </c>
      <c r="CR25" s="1">
        <v>60.237516512910197</v>
      </c>
      <c r="CS25" s="1" t="s">
        <v>161</v>
      </c>
    </row>
    <row r="26" spans="2:97" x14ac:dyDescent="0.35">
      <c r="B26" s="1">
        <v>2</v>
      </c>
      <c r="C26" s="1">
        <v>2</v>
      </c>
      <c r="D26" s="1">
        <v>0</v>
      </c>
      <c r="F26" s="1" t="s">
        <v>128</v>
      </c>
      <c r="U26" s="1">
        <v>0</v>
      </c>
      <c r="V26" s="1">
        <v>2</v>
      </c>
      <c r="W26" s="1">
        <v>2</v>
      </c>
      <c r="X26" s="1">
        <v>6</v>
      </c>
      <c r="AC26" s="1">
        <v>42.901295399991703</v>
      </c>
      <c r="AR26" s="1">
        <v>43.8850805999827</v>
      </c>
      <c r="AS26" s="1">
        <v>43.901525499997597</v>
      </c>
      <c r="AT26" s="1">
        <v>44.385100400017102</v>
      </c>
      <c r="AX26" s="1">
        <v>42.888858299993402</v>
      </c>
      <c r="AY26" s="1">
        <v>42.901295399991703</v>
      </c>
      <c r="AZ26" s="1">
        <v>43.885020899993798</v>
      </c>
      <c r="CL26" s="1">
        <v>9</v>
      </c>
      <c r="CM26" s="1">
        <v>1</v>
      </c>
      <c r="CN26" s="1" t="s">
        <v>160</v>
      </c>
      <c r="CO26" s="1" t="s">
        <v>99</v>
      </c>
      <c r="CQ26" s="1" t="s">
        <v>100</v>
      </c>
      <c r="CR26" s="1">
        <v>60.237516512910197</v>
      </c>
      <c r="CS26" s="1" t="s">
        <v>161</v>
      </c>
    </row>
    <row r="27" spans="2:97" x14ac:dyDescent="0.35">
      <c r="B27" s="1">
        <v>3</v>
      </c>
      <c r="C27" s="1">
        <v>3</v>
      </c>
      <c r="D27" s="1">
        <v>0</v>
      </c>
      <c r="F27" s="1" t="s">
        <v>124</v>
      </c>
      <c r="U27" s="1">
        <v>0</v>
      </c>
      <c r="V27" s="1">
        <v>3</v>
      </c>
      <c r="W27" s="1">
        <v>3</v>
      </c>
      <c r="X27" s="1">
        <v>7</v>
      </c>
      <c r="AC27" s="1">
        <v>44.401374900015</v>
      </c>
      <c r="AR27" s="1">
        <v>45.385143799998303</v>
      </c>
      <c r="AS27" s="1">
        <v>45.401395299995698</v>
      </c>
      <c r="AT27" s="1">
        <v>45.884999500005499</v>
      </c>
      <c r="AX27" s="1">
        <v>44.389694300014497</v>
      </c>
      <c r="AY27" s="1">
        <v>44.401374900015</v>
      </c>
      <c r="AZ27" s="1">
        <v>45.385073399986098</v>
      </c>
      <c r="CL27" s="1">
        <v>9</v>
      </c>
      <c r="CM27" s="1">
        <v>1</v>
      </c>
      <c r="CN27" s="1" t="s">
        <v>160</v>
      </c>
      <c r="CO27" s="1" t="s">
        <v>99</v>
      </c>
      <c r="CQ27" s="1" t="s">
        <v>100</v>
      </c>
      <c r="CR27" s="1">
        <v>60.237516512910197</v>
      </c>
      <c r="CS27" s="1" t="s">
        <v>161</v>
      </c>
    </row>
    <row r="28" spans="2:97" x14ac:dyDescent="0.35">
      <c r="B28" s="1">
        <v>4</v>
      </c>
      <c r="C28" s="1">
        <v>4</v>
      </c>
      <c r="D28" s="1">
        <v>0</v>
      </c>
      <c r="F28" s="1" t="s">
        <v>125</v>
      </c>
      <c r="U28" s="1">
        <v>0</v>
      </c>
      <c r="V28" s="1">
        <v>4</v>
      </c>
      <c r="W28" s="1">
        <v>4</v>
      </c>
      <c r="X28" s="1">
        <v>8</v>
      </c>
      <c r="AC28" s="1">
        <v>45.901768000039702</v>
      </c>
      <c r="AR28" s="1">
        <v>46.885502699995399</v>
      </c>
      <c r="AS28" s="1">
        <v>46.901711000013101</v>
      </c>
      <c r="AT28" s="1">
        <v>47.385516699985601</v>
      </c>
      <c r="AX28" s="1">
        <v>45.891293300024699</v>
      </c>
      <c r="AY28" s="1">
        <v>45.901768000039702</v>
      </c>
      <c r="AZ28" s="1">
        <v>46.885419700003602</v>
      </c>
      <c r="CL28" s="1">
        <v>9</v>
      </c>
      <c r="CM28" s="1">
        <v>1</v>
      </c>
      <c r="CN28" s="1" t="s">
        <v>160</v>
      </c>
      <c r="CO28" s="1" t="s">
        <v>99</v>
      </c>
      <c r="CQ28" s="1" t="s">
        <v>100</v>
      </c>
      <c r="CR28" s="1">
        <v>60.237516512910197</v>
      </c>
      <c r="CS28" s="1" t="s">
        <v>161</v>
      </c>
    </row>
    <row r="29" spans="2:97" x14ac:dyDescent="0.35">
      <c r="B29" s="1">
        <v>5</v>
      </c>
      <c r="C29" s="1">
        <v>5</v>
      </c>
      <c r="D29" s="1">
        <v>0</v>
      </c>
      <c r="F29" s="1" t="s">
        <v>130</v>
      </c>
      <c r="U29" s="1">
        <v>0</v>
      </c>
      <c r="V29" s="1">
        <v>5</v>
      </c>
      <c r="W29" s="1">
        <v>5</v>
      </c>
      <c r="X29" s="1">
        <v>3</v>
      </c>
      <c r="AC29" s="1">
        <v>47.401380900002501</v>
      </c>
      <c r="AR29" s="1">
        <v>48.385399700025999</v>
      </c>
      <c r="AS29" s="1">
        <v>48.401164799986802</v>
      </c>
      <c r="AT29" s="1">
        <v>48.885956600017302</v>
      </c>
      <c r="AX29" s="1">
        <v>47.392210000019901</v>
      </c>
      <c r="AY29" s="1">
        <v>47.401380900002501</v>
      </c>
      <c r="AZ29" s="1">
        <v>48.385339500033297</v>
      </c>
      <c r="CL29" s="1">
        <v>9</v>
      </c>
      <c r="CM29" s="1">
        <v>1</v>
      </c>
      <c r="CN29" s="1" t="s">
        <v>160</v>
      </c>
      <c r="CO29" s="1" t="s">
        <v>99</v>
      </c>
      <c r="CQ29" s="1" t="s">
        <v>100</v>
      </c>
      <c r="CR29" s="1">
        <v>60.237516512910197</v>
      </c>
      <c r="CS29" s="1" t="s">
        <v>161</v>
      </c>
    </row>
    <row r="30" spans="2:97" x14ac:dyDescent="0.35">
      <c r="B30" s="1">
        <v>6</v>
      </c>
      <c r="C30" s="1">
        <v>6</v>
      </c>
      <c r="D30" s="1">
        <v>0</v>
      </c>
      <c r="F30" s="1" t="s">
        <v>132</v>
      </c>
      <c r="U30" s="1">
        <v>0</v>
      </c>
      <c r="V30" s="1">
        <v>6</v>
      </c>
      <c r="W30" s="1">
        <v>6</v>
      </c>
      <c r="X30" s="1">
        <v>9</v>
      </c>
      <c r="AC30" s="1">
        <v>48.901638399984201</v>
      </c>
      <c r="AR30" s="1">
        <v>49.885480800003201</v>
      </c>
      <c r="AS30" s="1">
        <v>49.901746899995402</v>
      </c>
      <c r="AT30" s="1">
        <v>50.385498300020103</v>
      </c>
      <c r="AX30" s="1">
        <v>48.891129600000497</v>
      </c>
      <c r="AY30" s="1">
        <v>48.901638399984201</v>
      </c>
      <c r="AZ30" s="1">
        <v>49.8853787999833</v>
      </c>
      <c r="CL30" s="1">
        <v>9</v>
      </c>
      <c r="CM30" s="1">
        <v>1</v>
      </c>
      <c r="CN30" s="1" t="s">
        <v>160</v>
      </c>
      <c r="CO30" s="1" t="s">
        <v>99</v>
      </c>
      <c r="CQ30" s="1" t="s">
        <v>100</v>
      </c>
      <c r="CR30" s="1">
        <v>60.237516512910197</v>
      </c>
      <c r="CS30" s="1" t="s">
        <v>161</v>
      </c>
    </row>
    <row r="31" spans="2:97" x14ac:dyDescent="0.35">
      <c r="B31" s="1">
        <v>7</v>
      </c>
      <c r="C31" s="1">
        <v>7</v>
      </c>
      <c r="D31" s="1">
        <v>0</v>
      </c>
      <c r="F31" s="1" t="s">
        <v>133</v>
      </c>
      <c r="U31" s="1">
        <v>0</v>
      </c>
      <c r="V31" s="1">
        <v>7</v>
      </c>
      <c r="W31" s="1">
        <v>7</v>
      </c>
      <c r="X31" s="1">
        <v>1</v>
      </c>
      <c r="AC31" s="1">
        <v>50.401630300038903</v>
      </c>
      <c r="AR31" s="1">
        <v>51.385777599993098</v>
      </c>
      <c r="AS31" s="1">
        <v>51.401848100009303</v>
      </c>
      <c r="AT31" s="1">
        <v>51.885086100024601</v>
      </c>
      <c r="AX31" s="1">
        <v>50.389474700030398</v>
      </c>
      <c r="AY31" s="1">
        <v>50.401630300038903</v>
      </c>
      <c r="AZ31" s="1">
        <v>51.3856690000393</v>
      </c>
      <c r="CL31" s="1">
        <v>9</v>
      </c>
      <c r="CM31" s="1">
        <v>1</v>
      </c>
      <c r="CN31" s="1" t="s">
        <v>160</v>
      </c>
      <c r="CO31" s="1" t="s">
        <v>99</v>
      </c>
      <c r="CQ31" s="1" t="s">
        <v>100</v>
      </c>
      <c r="CR31" s="1">
        <v>60.237516512910197</v>
      </c>
      <c r="CS31" s="1" t="s">
        <v>161</v>
      </c>
    </row>
    <row r="32" spans="2:97" x14ac:dyDescent="0.35">
      <c r="B32" s="1">
        <v>8</v>
      </c>
      <c r="C32" s="1">
        <v>8</v>
      </c>
      <c r="D32" s="1">
        <v>0</v>
      </c>
      <c r="F32" s="1" t="s">
        <v>127</v>
      </c>
      <c r="U32" s="1">
        <v>0</v>
      </c>
      <c r="V32" s="1">
        <v>8</v>
      </c>
      <c r="W32" s="1">
        <v>8</v>
      </c>
      <c r="X32" s="1">
        <v>5</v>
      </c>
      <c r="AC32" s="1">
        <v>51.901277000026298</v>
      </c>
      <c r="AR32" s="1">
        <v>52.885399000020698</v>
      </c>
      <c r="AS32" s="1">
        <v>52.901446700037901</v>
      </c>
      <c r="AT32" s="1">
        <v>53.384792900003902</v>
      </c>
      <c r="AX32" s="1">
        <v>51.889288000005699</v>
      </c>
      <c r="AY32" s="1">
        <v>51.901277000026298</v>
      </c>
      <c r="AZ32" s="1">
        <v>52.885325399984097</v>
      </c>
      <c r="CL32" s="1">
        <v>9</v>
      </c>
      <c r="CM32" s="1">
        <v>1</v>
      </c>
      <c r="CN32" s="1" t="s">
        <v>160</v>
      </c>
      <c r="CO32" s="1" t="s">
        <v>99</v>
      </c>
      <c r="CQ32" s="1" t="s">
        <v>100</v>
      </c>
      <c r="CR32" s="1">
        <v>60.237516512910197</v>
      </c>
      <c r="CS32" s="1" t="s">
        <v>161</v>
      </c>
    </row>
    <row r="33" spans="2:97" x14ac:dyDescent="0.35">
      <c r="B33" s="1">
        <v>9</v>
      </c>
      <c r="C33" s="1">
        <v>9</v>
      </c>
      <c r="D33" s="1">
        <v>0</v>
      </c>
      <c r="F33" s="1" t="s">
        <v>126</v>
      </c>
      <c r="U33" s="1">
        <v>0</v>
      </c>
      <c r="V33" s="1">
        <v>9</v>
      </c>
      <c r="W33" s="1">
        <v>9</v>
      </c>
      <c r="X33" s="1">
        <v>4</v>
      </c>
      <c r="AC33" s="1">
        <v>53.401256899989598</v>
      </c>
      <c r="AR33" s="1">
        <v>54.385146600019603</v>
      </c>
      <c r="AS33" s="1">
        <v>54.401159500004702</v>
      </c>
      <c r="AT33" s="1">
        <v>54.8851888999925</v>
      </c>
      <c r="AX33" s="1">
        <v>53.388465400028501</v>
      </c>
      <c r="AY33" s="1">
        <v>53.401256899989598</v>
      </c>
      <c r="AZ33" s="1">
        <v>54.385079800034802</v>
      </c>
      <c r="CL33" s="1">
        <v>9</v>
      </c>
      <c r="CM33" s="1">
        <v>1</v>
      </c>
      <c r="CN33" s="1" t="s">
        <v>160</v>
      </c>
      <c r="CO33" s="1" t="s">
        <v>99</v>
      </c>
      <c r="CQ33" s="1" t="s">
        <v>100</v>
      </c>
      <c r="CR33" s="1">
        <v>60.237516512910197</v>
      </c>
      <c r="CS33" s="1" t="s">
        <v>161</v>
      </c>
    </row>
    <row r="34" spans="2:97" x14ac:dyDescent="0.35">
      <c r="BA34" s="1">
        <v>54.885430000023902</v>
      </c>
      <c r="BB34" s="1">
        <v>54.901695500011499</v>
      </c>
      <c r="BC34" s="1">
        <v>54.901695500011499</v>
      </c>
      <c r="BD34" s="1">
        <v>56.885844800039102</v>
      </c>
      <c r="BE34" s="1" t="s">
        <v>102</v>
      </c>
      <c r="BF34" s="1">
        <v>1.9766905999858799</v>
      </c>
      <c r="BG34" s="1" t="s">
        <v>103</v>
      </c>
      <c r="CL34" s="1">
        <v>9</v>
      </c>
      <c r="CM34" s="1">
        <v>1</v>
      </c>
      <c r="CN34" s="1" t="s">
        <v>160</v>
      </c>
      <c r="CO34" s="1" t="s">
        <v>99</v>
      </c>
      <c r="CQ34" s="1" t="s">
        <v>100</v>
      </c>
      <c r="CR34" s="1">
        <v>60.237516512910197</v>
      </c>
      <c r="CS34" s="1" t="s">
        <v>161</v>
      </c>
    </row>
    <row r="35" spans="2:97" x14ac:dyDescent="0.35">
      <c r="BH35" s="1">
        <v>56.885941200016497</v>
      </c>
      <c r="BI35" s="1">
        <v>56.901791899988801</v>
      </c>
      <c r="BJ35" s="1">
        <v>56.901791899988801</v>
      </c>
      <c r="BK35" s="1">
        <v>57.802555200003503</v>
      </c>
      <c r="BL35" s="1">
        <v>3</v>
      </c>
      <c r="BM35" s="1">
        <v>0.90031040000030704</v>
      </c>
      <c r="BN35" s="1" t="s">
        <v>103</v>
      </c>
      <c r="CL35" s="1">
        <v>9</v>
      </c>
      <c r="CM35" s="1">
        <v>1</v>
      </c>
      <c r="CN35" s="1" t="s">
        <v>160</v>
      </c>
      <c r="CO35" s="1" t="s">
        <v>99</v>
      </c>
      <c r="CQ35" s="1" t="s">
        <v>100</v>
      </c>
      <c r="CR35" s="1">
        <v>60.237516512910197</v>
      </c>
      <c r="CS35" s="1" t="s">
        <v>161</v>
      </c>
    </row>
    <row r="36" spans="2:97" x14ac:dyDescent="0.35">
      <c r="BO36" s="1">
        <v>57.802637499989899</v>
      </c>
      <c r="BP36" s="1">
        <v>57.818385099992099</v>
      </c>
      <c r="BQ36" s="1">
        <v>57.818385099992099</v>
      </c>
      <c r="BR36" s="1">
        <v>59.1534370000008</v>
      </c>
      <c r="BS36" s="1" t="s">
        <v>102</v>
      </c>
      <c r="BT36" s="1">
        <v>1.3343095000018299</v>
      </c>
      <c r="BU36" s="1" t="s">
        <v>103</v>
      </c>
      <c r="CL36" s="1">
        <v>9</v>
      </c>
      <c r="CM36" s="1">
        <v>1</v>
      </c>
      <c r="CN36" s="1" t="s">
        <v>160</v>
      </c>
      <c r="CO36" s="1" t="s">
        <v>99</v>
      </c>
      <c r="CQ36" s="1" t="s">
        <v>100</v>
      </c>
      <c r="CR36" s="1">
        <v>60.237516512910197</v>
      </c>
      <c r="CS36" s="1" t="s">
        <v>161</v>
      </c>
    </row>
    <row r="37" spans="2:97" x14ac:dyDescent="0.35">
      <c r="B37" s="1">
        <v>0</v>
      </c>
      <c r="C37" s="1">
        <v>0</v>
      </c>
      <c r="D37" s="1">
        <v>0</v>
      </c>
      <c r="G37" s="1" t="s">
        <v>141</v>
      </c>
      <c r="H37" s="1" t="s">
        <v>136</v>
      </c>
      <c r="I37" s="1" t="s">
        <v>134</v>
      </c>
      <c r="J37" s="1">
        <v>0</v>
      </c>
      <c r="K37" s="1">
        <v>1.2865943000069799</v>
      </c>
      <c r="L37" s="1" t="s">
        <v>103</v>
      </c>
      <c r="Y37" s="1">
        <v>0</v>
      </c>
      <c r="Z37" s="1">
        <v>0</v>
      </c>
      <c r="AA37" s="1">
        <v>0</v>
      </c>
      <c r="AB37" s="1">
        <v>1</v>
      </c>
      <c r="AC37" s="1">
        <v>59.1690479000099</v>
      </c>
      <c r="AR37" s="1">
        <v>60.468661500024602</v>
      </c>
      <c r="AS37" s="1">
        <v>60.484635900007497</v>
      </c>
      <c r="AT37" s="1">
        <v>60.970929000002798</v>
      </c>
      <c r="BV37" s="1">
        <v>59.165431800007298</v>
      </c>
      <c r="BW37" s="1">
        <v>59.1690479000099</v>
      </c>
      <c r="BX37" s="1">
        <v>59.1690479000099</v>
      </c>
      <c r="BY37" s="1">
        <v>60.468567800009602</v>
      </c>
      <c r="BZ37" s="1" t="s">
        <v>134</v>
      </c>
      <c r="CA37" s="1">
        <v>0</v>
      </c>
      <c r="CB37" s="1">
        <v>1.2865943000069799</v>
      </c>
      <c r="CC37" s="1" t="s">
        <v>103</v>
      </c>
      <c r="CL37" s="1">
        <v>9</v>
      </c>
      <c r="CM37" s="1">
        <v>1</v>
      </c>
      <c r="CN37" s="1" t="s">
        <v>160</v>
      </c>
      <c r="CO37" s="1" t="s">
        <v>99</v>
      </c>
      <c r="CQ37" s="1" t="s">
        <v>100</v>
      </c>
      <c r="CR37" s="1">
        <v>60.237516512910197</v>
      </c>
      <c r="CS37" s="1" t="s">
        <v>161</v>
      </c>
    </row>
    <row r="38" spans="2:97" x14ac:dyDescent="0.35">
      <c r="B38" s="1">
        <v>1</v>
      </c>
      <c r="C38" s="1">
        <v>1</v>
      </c>
      <c r="D38" s="1">
        <v>0</v>
      </c>
      <c r="G38" s="1" t="s">
        <v>139</v>
      </c>
      <c r="H38" s="1" t="s">
        <v>136</v>
      </c>
      <c r="I38" s="1" t="s">
        <v>136</v>
      </c>
      <c r="J38" s="1">
        <v>1</v>
      </c>
      <c r="K38" s="1">
        <v>0.62996570003451702</v>
      </c>
      <c r="L38" s="1" t="s">
        <v>103</v>
      </c>
      <c r="Y38" s="1">
        <v>0</v>
      </c>
      <c r="Z38" s="1">
        <v>1</v>
      </c>
      <c r="AA38" s="1">
        <v>1</v>
      </c>
      <c r="AB38" s="1">
        <v>9</v>
      </c>
      <c r="AC38" s="1">
        <v>60.992637799994498</v>
      </c>
      <c r="AR38" s="1">
        <v>61.635688900016198</v>
      </c>
      <c r="AS38" s="1">
        <v>61.650886300019899</v>
      </c>
      <c r="AT38" s="1">
        <v>62.135221600008599</v>
      </c>
      <c r="BV38" s="1">
        <v>60.984853000030803</v>
      </c>
      <c r="BW38" s="1">
        <v>60.992637799994498</v>
      </c>
      <c r="BX38" s="1">
        <v>60.992637799994498</v>
      </c>
      <c r="BY38" s="1">
        <v>61.635583200026304</v>
      </c>
      <c r="BZ38" s="1" t="s">
        <v>136</v>
      </c>
      <c r="CA38" s="1">
        <v>1</v>
      </c>
      <c r="CB38" s="1">
        <v>0.62996570003451702</v>
      </c>
      <c r="CC38" s="1" t="s">
        <v>103</v>
      </c>
      <c r="CD38" s="1">
        <v>62.151530000031897</v>
      </c>
      <c r="CL38" s="1">
        <v>9</v>
      </c>
      <c r="CM38" s="1">
        <v>1</v>
      </c>
      <c r="CN38" s="1" t="s">
        <v>160</v>
      </c>
      <c r="CO38" s="1" t="s">
        <v>99</v>
      </c>
      <c r="CQ38" s="1" t="s">
        <v>100</v>
      </c>
      <c r="CR38" s="1">
        <v>60.237516512910197</v>
      </c>
      <c r="CS38" s="1" t="s">
        <v>161</v>
      </c>
    </row>
    <row r="39" spans="2:97" x14ac:dyDescent="0.35">
      <c r="B39" s="1">
        <v>2</v>
      </c>
      <c r="C39" s="1">
        <v>2</v>
      </c>
      <c r="D39" s="1">
        <v>0</v>
      </c>
      <c r="G39" s="1" t="s">
        <v>129</v>
      </c>
      <c r="H39" s="1" t="s">
        <v>134</v>
      </c>
      <c r="I39" s="1" t="s">
        <v>134</v>
      </c>
      <c r="J39" s="1">
        <v>1</v>
      </c>
      <c r="K39" s="1">
        <v>0.834783300000708</v>
      </c>
      <c r="L39" s="1" t="s">
        <v>103</v>
      </c>
      <c r="Y39" s="1">
        <v>0</v>
      </c>
      <c r="Z39" s="1">
        <v>2</v>
      </c>
      <c r="AA39" s="1">
        <v>2</v>
      </c>
      <c r="AB39" s="1">
        <v>5</v>
      </c>
      <c r="AC39" s="1">
        <v>62.151530000031897</v>
      </c>
      <c r="AR39" s="1">
        <v>63.001812500005997</v>
      </c>
      <c r="AS39" s="1">
        <v>63.017975300026499</v>
      </c>
      <c r="AT39" s="1">
        <v>63.501687699987002</v>
      </c>
      <c r="BV39" s="1">
        <v>62.140117900038597</v>
      </c>
      <c r="BW39" s="1">
        <v>62.151530000031897</v>
      </c>
      <c r="BX39" s="1">
        <v>62.151530000031897</v>
      </c>
      <c r="BY39" s="1">
        <v>63.001722100016103</v>
      </c>
      <c r="BZ39" s="1" t="s">
        <v>134</v>
      </c>
      <c r="CA39" s="1">
        <v>1</v>
      </c>
      <c r="CB39" s="1">
        <v>0.834783300000708</v>
      </c>
      <c r="CC39" s="1" t="s">
        <v>103</v>
      </c>
      <c r="CD39" s="1">
        <v>63.517943800019502</v>
      </c>
      <c r="CL39" s="1">
        <v>9</v>
      </c>
      <c r="CM39" s="1">
        <v>1</v>
      </c>
      <c r="CN39" s="1" t="s">
        <v>160</v>
      </c>
      <c r="CO39" s="1" t="s">
        <v>99</v>
      </c>
      <c r="CQ39" s="1" t="s">
        <v>100</v>
      </c>
      <c r="CR39" s="1">
        <v>60.237516512910197</v>
      </c>
      <c r="CS39" s="1" t="s">
        <v>161</v>
      </c>
    </row>
    <row r="40" spans="2:97" x14ac:dyDescent="0.35">
      <c r="B40" s="1">
        <v>3</v>
      </c>
      <c r="C40" s="1">
        <v>3</v>
      </c>
      <c r="D40" s="1">
        <v>0</v>
      </c>
      <c r="G40" s="1" t="s">
        <v>116</v>
      </c>
      <c r="H40" s="1" t="s">
        <v>134</v>
      </c>
      <c r="I40" s="1" t="s">
        <v>134</v>
      </c>
      <c r="J40" s="1">
        <v>1</v>
      </c>
      <c r="K40" s="1">
        <v>0.44659840001258999</v>
      </c>
      <c r="L40" s="1" t="s">
        <v>103</v>
      </c>
      <c r="Y40" s="1">
        <v>0</v>
      </c>
      <c r="Z40" s="1">
        <v>3</v>
      </c>
      <c r="AA40" s="1">
        <v>3</v>
      </c>
      <c r="AB40" s="1">
        <v>4</v>
      </c>
      <c r="AC40" s="1">
        <v>63.517943800019502</v>
      </c>
      <c r="AR40" s="1">
        <v>63.9692811000277</v>
      </c>
      <c r="AS40" s="1">
        <v>63.984848599997299</v>
      </c>
      <c r="AT40" s="1">
        <v>64.468401000020094</v>
      </c>
      <c r="BV40" s="1">
        <v>63.505096899985801</v>
      </c>
      <c r="BW40" s="1">
        <v>63.517943800019502</v>
      </c>
      <c r="BX40" s="1">
        <v>63.517943800019502</v>
      </c>
      <c r="BY40" s="1">
        <v>63.969105900032403</v>
      </c>
      <c r="BZ40" s="1" t="s">
        <v>134</v>
      </c>
      <c r="CA40" s="1">
        <v>1</v>
      </c>
      <c r="CB40" s="1">
        <v>0.44659840001258999</v>
      </c>
      <c r="CC40" s="1" t="s">
        <v>103</v>
      </c>
      <c r="CD40" s="1">
        <v>64.484536700008903</v>
      </c>
      <c r="CL40" s="1">
        <v>9</v>
      </c>
      <c r="CM40" s="1">
        <v>1</v>
      </c>
      <c r="CN40" s="1" t="s">
        <v>160</v>
      </c>
      <c r="CO40" s="1" t="s">
        <v>99</v>
      </c>
      <c r="CQ40" s="1" t="s">
        <v>100</v>
      </c>
      <c r="CR40" s="1">
        <v>60.237516512910197</v>
      </c>
      <c r="CS40" s="1" t="s">
        <v>161</v>
      </c>
    </row>
    <row r="41" spans="2:97" x14ac:dyDescent="0.35">
      <c r="B41" s="1">
        <v>4</v>
      </c>
      <c r="C41" s="1">
        <v>4</v>
      </c>
      <c r="D41" s="1">
        <v>0</v>
      </c>
      <c r="G41" s="1" t="s">
        <v>130</v>
      </c>
      <c r="H41" s="1" t="s">
        <v>134</v>
      </c>
      <c r="I41" s="1" t="s">
        <v>136</v>
      </c>
      <c r="J41" s="1">
        <v>0</v>
      </c>
      <c r="K41" s="1">
        <v>0.59688710002228595</v>
      </c>
      <c r="L41" s="1" t="s">
        <v>103</v>
      </c>
      <c r="Y41" s="1">
        <v>0</v>
      </c>
      <c r="Z41" s="1">
        <v>4</v>
      </c>
      <c r="AA41" s="1">
        <v>4</v>
      </c>
      <c r="AB41" s="1">
        <v>6</v>
      </c>
      <c r="AC41" s="1">
        <v>64.484536700008903</v>
      </c>
      <c r="AR41" s="1">
        <v>65.085276500030801</v>
      </c>
      <c r="AS41" s="1">
        <v>65.101191000023306</v>
      </c>
      <c r="AT41" s="1">
        <v>65.5854613999836</v>
      </c>
      <c r="BV41" s="1">
        <v>64.472185200021997</v>
      </c>
      <c r="BW41" s="1">
        <v>64.484536700008903</v>
      </c>
      <c r="BX41" s="1">
        <v>64.484536700008903</v>
      </c>
      <c r="BY41" s="1">
        <v>65.085185600037207</v>
      </c>
      <c r="BZ41" s="1" t="s">
        <v>136</v>
      </c>
      <c r="CA41" s="1">
        <v>0</v>
      </c>
      <c r="CB41" s="1">
        <v>0.59688710002228595</v>
      </c>
      <c r="CC41" s="1" t="s">
        <v>103</v>
      </c>
      <c r="CD41" s="1">
        <v>65.601158700010203</v>
      </c>
      <c r="CL41" s="1">
        <v>9</v>
      </c>
      <c r="CM41" s="1">
        <v>1</v>
      </c>
      <c r="CN41" s="1" t="s">
        <v>160</v>
      </c>
      <c r="CO41" s="1" t="s">
        <v>99</v>
      </c>
      <c r="CQ41" s="1" t="s">
        <v>100</v>
      </c>
      <c r="CR41" s="1">
        <v>60.237516512910197</v>
      </c>
      <c r="CS41" s="1" t="s">
        <v>161</v>
      </c>
    </row>
    <row r="42" spans="2:97" x14ac:dyDescent="0.35">
      <c r="B42" s="1">
        <v>5</v>
      </c>
      <c r="C42" s="1">
        <v>5</v>
      </c>
      <c r="D42" s="1">
        <v>0</v>
      </c>
      <c r="G42" s="1" t="s">
        <v>135</v>
      </c>
      <c r="H42" s="1" t="s">
        <v>136</v>
      </c>
      <c r="I42" s="1" t="s">
        <v>136</v>
      </c>
      <c r="J42" s="1">
        <v>1</v>
      </c>
      <c r="K42" s="1">
        <v>0.63806180004030399</v>
      </c>
      <c r="L42" s="1" t="s">
        <v>103</v>
      </c>
      <c r="Y42" s="1">
        <v>0</v>
      </c>
      <c r="Z42" s="1">
        <v>5</v>
      </c>
      <c r="AA42" s="1">
        <v>5</v>
      </c>
      <c r="AB42" s="1">
        <v>8</v>
      </c>
      <c r="AC42" s="1">
        <v>65.601158700010203</v>
      </c>
      <c r="AR42" s="1">
        <v>66.252625900029599</v>
      </c>
      <c r="AS42" s="1">
        <v>66.267942400008906</v>
      </c>
      <c r="AT42" s="1">
        <v>66.751563700032406</v>
      </c>
      <c r="BV42" s="1">
        <v>65.591080099984495</v>
      </c>
      <c r="BW42" s="1">
        <v>65.601158700010203</v>
      </c>
      <c r="BX42" s="1">
        <v>65.601158700010203</v>
      </c>
      <c r="BY42" s="1">
        <v>66.252475299988802</v>
      </c>
      <c r="BZ42" s="1" t="s">
        <v>136</v>
      </c>
      <c r="CA42" s="1">
        <v>1</v>
      </c>
      <c r="CB42" s="1">
        <v>0.63806180004030399</v>
      </c>
      <c r="CC42" s="1" t="s">
        <v>103</v>
      </c>
      <c r="CD42" s="1">
        <v>66.767748099984601</v>
      </c>
      <c r="CL42" s="1">
        <v>9</v>
      </c>
      <c r="CM42" s="1">
        <v>1</v>
      </c>
      <c r="CN42" s="1" t="s">
        <v>160</v>
      </c>
      <c r="CO42" s="1" t="s">
        <v>99</v>
      </c>
      <c r="CQ42" s="1" t="s">
        <v>100</v>
      </c>
      <c r="CR42" s="1">
        <v>60.237516512910197</v>
      </c>
      <c r="CS42" s="1" t="s">
        <v>161</v>
      </c>
    </row>
    <row r="43" spans="2:97" x14ac:dyDescent="0.35">
      <c r="B43" s="1">
        <v>6</v>
      </c>
      <c r="C43" s="1">
        <v>6</v>
      </c>
      <c r="D43" s="1">
        <v>0</v>
      </c>
      <c r="G43" s="1" t="s">
        <v>106</v>
      </c>
      <c r="H43" s="1" t="s">
        <v>134</v>
      </c>
      <c r="I43" s="1" t="s">
        <v>134</v>
      </c>
      <c r="J43" s="1">
        <v>1</v>
      </c>
      <c r="K43" s="1">
        <v>4.3492112000240004</v>
      </c>
      <c r="L43" s="1" t="s">
        <v>103</v>
      </c>
      <c r="Y43" s="1">
        <v>0</v>
      </c>
      <c r="Z43" s="1">
        <v>6</v>
      </c>
      <c r="AA43" s="1">
        <v>6</v>
      </c>
      <c r="AB43" s="1">
        <v>3</v>
      </c>
      <c r="AC43" s="1">
        <v>66.767748099984601</v>
      </c>
      <c r="AR43" s="1">
        <v>71.118842400028299</v>
      </c>
      <c r="AS43" s="1">
        <v>71.134364199999197</v>
      </c>
      <c r="AT43" s="1">
        <v>71.6183839000295</v>
      </c>
      <c r="BV43" s="1">
        <v>66.754955000011194</v>
      </c>
      <c r="BW43" s="1">
        <v>66.767748099984601</v>
      </c>
      <c r="BX43" s="1">
        <v>66.767748099984601</v>
      </c>
      <c r="BY43" s="1">
        <v>71.118704500025999</v>
      </c>
      <c r="BZ43" s="1" t="s">
        <v>134</v>
      </c>
      <c r="CA43" s="1">
        <v>1</v>
      </c>
      <c r="CB43" s="1">
        <v>4.3492112000240004</v>
      </c>
      <c r="CC43" s="1" t="s">
        <v>103</v>
      </c>
      <c r="CD43" s="1">
        <v>71.634390200022594</v>
      </c>
      <c r="CL43" s="1">
        <v>9</v>
      </c>
      <c r="CM43" s="1">
        <v>1</v>
      </c>
      <c r="CN43" s="1" t="s">
        <v>160</v>
      </c>
      <c r="CO43" s="1" t="s">
        <v>99</v>
      </c>
      <c r="CQ43" s="1" t="s">
        <v>100</v>
      </c>
      <c r="CR43" s="1">
        <v>60.237516512910197</v>
      </c>
      <c r="CS43" s="1" t="s">
        <v>161</v>
      </c>
    </row>
    <row r="44" spans="2:97" x14ac:dyDescent="0.35">
      <c r="B44" s="1">
        <v>7</v>
      </c>
      <c r="C44" s="1">
        <v>7</v>
      </c>
      <c r="D44" s="1">
        <v>0</v>
      </c>
      <c r="G44" s="1" t="s">
        <v>138</v>
      </c>
      <c r="H44" s="1" t="s">
        <v>136</v>
      </c>
      <c r="I44" s="1" t="s">
        <v>134</v>
      </c>
      <c r="J44" s="1">
        <v>0</v>
      </c>
      <c r="K44" s="1">
        <v>0.80993749998742703</v>
      </c>
      <c r="L44" s="1" t="s">
        <v>103</v>
      </c>
      <c r="Y44" s="1">
        <v>0</v>
      </c>
      <c r="Z44" s="1">
        <v>7</v>
      </c>
      <c r="AA44" s="1">
        <v>7</v>
      </c>
      <c r="AB44" s="1">
        <v>0</v>
      </c>
      <c r="AC44" s="1">
        <v>71.634390200022594</v>
      </c>
      <c r="AR44" s="1">
        <v>72.452367999998302</v>
      </c>
      <c r="AS44" s="1">
        <v>72.468618599988901</v>
      </c>
      <c r="AT44" s="1">
        <v>72.951950800022999</v>
      </c>
      <c r="BV44" s="1">
        <v>71.622186699998494</v>
      </c>
      <c r="BW44" s="1">
        <v>71.634390200022594</v>
      </c>
      <c r="BX44" s="1">
        <v>71.634390200022594</v>
      </c>
      <c r="BY44" s="1">
        <v>72.452247900015195</v>
      </c>
      <c r="BZ44" s="1" t="s">
        <v>134</v>
      </c>
      <c r="CA44" s="1">
        <v>0</v>
      </c>
      <c r="CB44" s="1">
        <v>0.80993749998742703</v>
      </c>
      <c r="CC44" s="1" t="s">
        <v>103</v>
      </c>
      <c r="CD44" s="1">
        <v>72.968470700026899</v>
      </c>
      <c r="CL44" s="1">
        <v>9</v>
      </c>
      <c r="CM44" s="1">
        <v>1</v>
      </c>
      <c r="CN44" s="1" t="s">
        <v>160</v>
      </c>
      <c r="CO44" s="1" t="s">
        <v>99</v>
      </c>
      <c r="CQ44" s="1" t="s">
        <v>100</v>
      </c>
      <c r="CR44" s="1">
        <v>60.237516512910197</v>
      </c>
      <c r="CS44" s="1" t="s">
        <v>161</v>
      </c>
    </row>
    <row r="45" spans="2:97" x14ac:dyDescent="0.35">
      <c r="B45" s="1">
        <v>8</v>
      </c>
      <c r="C45" s="1">
        <v>8</v>
      </c>
      <c r="D45" s="1">
        <v>0</v>
      </c>
      <c r="G45" s="1" t="s">
        <v>140</v>
      </c>
      <c r="H45" s="1" t="s">
        <v>136</v>
      </c>
      <c r="I45" s="1" t="s">
        <v>134</v>
      </c>
      <c r="J45" s="1">
        <v>0</v>
      </c>
      <c r="K45" s="1">
        <v>1.11800899996887</v>
      </c>
      <c r="L45" s="1" t="s">
        <v>103</v>
      </c>
      <c r="Y45" s="1">
        <v>0</v>
      </c>
      <c r="Z45" s="1">
        <v>8</v>
      </c>
      <c r="AA45" s="1">
        <v>8</v>
      </c>
      <c r="AB45" s="1">
        <v>2</v>
      </c>
      <c r="AC45" s="1">
        <v>72.968470700026899</v>
      </c>
      <c r="AR45" s="1">
        <v>74.103246400016303</v>
      </c>
      <c r="AS45" s="1">
        <v>74.118014500010702</v>
      </c>
      <c r="AT45" s="1">
        <v>74.601428000023503</v>
      </c>
      <c r="BV45" s="1">
        <v>72.956983199983299</v>
      </c>
      <c r="BW45" s="1">
        <v>72.968470700026899</v>
      </c>
      <c r="BX45" s="1">
        <v>72.968470700026899</v>
      </c>
      <c r="BY45" s="1">
        <v>74.103095200029202</v>
      </c>
      <c r="BZ45" s="1" t="s">
        <v>134</v>
      </c>
      <c r="CA45" s="1">
        <v>0</v>
      </c>
      <c r="CB45" s="1">
        <v>1.11800899996887</v>
      </c>
      <c r="CC45" s="1" t="s">
        <v>103</v>
      </c>
      <c r="CD45" s="1">
        <v>74.617857500037601</v>
      </c>
      <c r="CL45" s="1">
        <v>9</v>
      </c>
      <c r="CM45" s="1">
        <v>1</v>
      </c>
      <c r="CN45" s="1" t="s">
        <v>160</v>
      </c>
      <c r="CO45" s="1" t="s">
        <v>99</v>
      </c>
      <c r="CQ45" s="1" t="s">
        <v>100</v>
      </c>
      <c r="CR45" s="1">
        <v>60.237516512910197</v>
      </c>
      <c r="CS45" s="1" t="s">
        <v>161</v>
      </c>
    </row>
    <row r="46" spans="2:97" x14ac:dyDescent="0.35">
      <c r="B46" s="1">
        <v>9</v>
      </c>
      <c r="C46" s="1">
        <v>9</v>
      </c>
      <c r="D46" s="1">
        <v>0</v>
      </c>
      <c r="G46" s="1" t="s">
        <v>137</v>
      </c>
      <c r="H46" s="1" t="s">
        <v>136</v>
      </c>
      <c r="I46" s="1" t="s">
        <v>136</v>
      </c>
      <c r="J46" s="1">
        <v>1</v>
      </c>
      <c r="K46" s="1">
        <v>1.08301499998196</v>
      </c>
      <c r="L46" s="1" t="s">
        <v>103</v>
      </c>
      <c r="Y46" s="1">
        <v>0</v>
      </c>
      <c r="Z46" s="1">
        <v>9</v>
      </c>
      <c r="AA46" s="1">
        <v>9</v>
      </c>
      <c r="AB46" s="1">
        <v>7</v>
      </c>
      <c r="AC46" s="1">
        <v>74.617857500037601</v>
      </c>
      <c r="AR46" s="1">
        <v>75.702467499999301</v>
      </c>
      <c r="AS46" s="1">
        <v>75.717683300026593</v>
      </c>
      <c r="AT46" s="1">
        <v>76.201913000026195</v>
      </c>
      <c r="BV46" s="1">
        <v>74.605228000029399</v>
      </c>
      <c r="BW46" s="1">
        <v>74.617857500037601</v>
      </c>
      <c r="BX46" s="1">
        <v>74.617857500037601</v>
      </c>
      <c r="BY46" s="1">
        <v>75.702277500007696</v>
      </c>
      <c r="BZ46" s="1" t="s">
        <v>136</v>
      </c>
      <c r="CA46" s="1">
        <v>1</v>
      </c>
      <c r="CB46" s="1">
        <v>1.08301499998196</v>
      </c>
      <c r="CC46" s="1" t="s">
        <v>103</v>
      </c>
      <c r="CD46" s="1">
        <v>76.2180129000335</v>
      </c>
      <c r="CL46" s="1">
        <v>9</v>
      </c>
      <c r="CM46" s="1">
        <v>1</v>
      </c>
      <c r="CN46" s="1" t="s">
        <v>160</v>
      </c>
      <c r="CO46" s="1" t="s">
        <v>99</v>
      </c>
      <c r="CQ46" s="1" t="s">
        <v>100</v>
      </c>
      <c r="CR46" s="1">
        <v>60.237516512910197</v>
      </c>
      <c r="CS46" s="1" t="s">
        <v>161</v>
      </c>
    </row>
    <row r="47" spans="2:97" x14ac:dyDescent="0.35">
      <c r="CE47" s="1">
        <v>76.202066300029401</v>
      </c>
      <c r="CF47" s="1">
        <v>76.2180129000335</v>
      </c>
      <c r="CG47" s="1">
        <v>76.2180129000335</v>
      </c>
      <c r="CH47" s="1">
        <v>77.701908999995794</v>
      </c>
      <c r="CI47" s="1" t="s">
        <v>102</v>
      </c>
      <c r="CJ47" s="1">
        <v>1.47837229998549</v>
      </c>
      <c r="CK47" s="1" t="s">
        <v>103</v>
      </c>
      <c r="CL47" s="1">
        <v>9</v>
      </c>
      <c r="CM47" s="1">
        <v>1</v>
      </c>
      <c r="CN47" s="1" t="s">
        <v>160</v>
      </c>
      <c r="CO47" s="1" t="s">
        <v>99</v>
      </c>
      <c r="CQ47" s="1" t="s">
        <v>100</v>
      </c>
      <c r="CR47" s="1">
        <v>60.237516512910197</v>
      </c>
      <c r="CS47" s="1" t="s">
        <v>161</v>
      </c>
    </row>
    <row r="49" spans="10:11" x14ac:dyDescent="0.35">
      <c r="J49" s="2">
        <f>AVERAGE(J37:J46)</f>
        <v>0.6</v>
      </c>
      <c r="K49" s="2">
        <f>AVERAGE(K37:K46)</f>
        <v>1.1793063300079643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65320D-C384-4D15-8A15-2587572F1391}">
  <dimension ref="A1:CU49"/>
  <sheetViews>
    <sheetView topLeftCell="A35" workbookViewId="0">
      <selection activeCell="J43" sqref="J43"/>
    </sheetView>
  </sheetViews>
  <sheetFormatPr defaultRowHeight="14.5" x14ac:dyDescent="0.35"/>
  <cols>
    <col min="1" max="16384" width="8.7265625" style="1"/>
  </cols>
  <sheetData>
    <row r="1" spans="1:9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150</v>
      </c>
      <c r="AS1" s="1" t="s">
        <v>43</v>
      </c>
      <c r="AT1" s="1" t="s">
        <v>44</v>
      </c>
      <c r="AU1" s="1" t="s">
        <v>45</v>
      </c>
      <c r="AV1" s="1" t="s">
        <v>82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64</v>
      </c>
      <c r="BP1" s="1" t="s">
        <v>65</v>
      </c>
      <c r="BQ1" s="1" t="s">
        <v>66</v>
      </c>
      <c r="BR1" s="1" t="s">
        <v>67</v>
      </c>
      <c r="BS1" s="1" t="s">
        <v>68</v>
      </c>
      <c r="BT1" s="1" t="s">
        <v>69</v>
      </c>
      <c r="BU1" s="1" t="s">
        <v>70</v>
      </c>
      <c r="BV1" s="1" t="s">
        <v>71</v>
      </c>
      <c r="BW1" s="1" t="s">
        <v>72</v>
      </c>
      <c r="BX1" s="1" t="s">
        <v>73</v>
      </c>
      <c r="BY1" s="1" t="s">
        <v>74</v>
      </c>
      <c r="BZ1" s="1" t="s">
        <v>75</v>
      </c>
      <c r="CA1" s="1" t="s">
        <v>76</v>
      </c>
      <c r="CB1" s="1" t="s">
        <v>77</v>
      </c>
      <c r="CC1" s="1" t="s">
        <v>78</v>
      </c>
      <c r="CD1" s="1" t="s">
        <v>79</v>
      </c>
      <c r="CE1" s="1" t="s">
        <v>80</v>
      </c>
      <c r="CF1" s="1" t="s">
        <v>81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</row>
    <row r="2" spans="1:99" x14ac:dyDescent="0.35">
      <c r="AE2" s="1">
        <v>1.5924999999999999E-3</v>
      </c>
      <c r="AF2" s="1">
        <v>3.8126000000000002E-3</v>
      </c>
      <c r="AG2" s="1">
        <v>3.0037107000000001</v>
      </c>
      <c r="AH2" s="1">
        <v>2.9879256000000001</v>
      </c>
      <c r="CN2" s="1">
        <v>10</v>
      </c>
      <c r="CO2" s="1">
        <v>1</v>
      </c>
      <c r="CP2" s="1" t="s">
        <v>162</v>
      </c>
      <c r="CQ2" s="1" t="s">
        <v>99</v>
      </c>
      <c r="CS2" s="1" t="s">
        <v>100</v>
      </c>
      <c r="CT2" s="1">
        <v>59.768790410000001</v>
      </c>
      <c r="CU2" s="1" t="s">
        <v>163</v>
      </c>
    </row>
    <row r="3" spans="1:99" x14ac:dyDescent="0.35">
      <c r="AI3" s="1">
        <v>2.9880045000000002</v>
      </c>
      <c r="AJ3" s="1">
        <v>3.0037107000000001</v>
      </c>
      <c r="AK3" s="1">
        <v>3.0037107000000001</v>
      </c>
      <c r="AL3" s="1">
        <v>4.0251023999999997</v>
      </c>
      <c r="AM3" s="1" t="s">
        <v>102</v>
      </c>
      <c r="AN3" s="1">
        <v>1.0158779</v>
      </c>
      <c r="AO3" s="1" t="s">
        <v>103</v>
      </c>
      <c r="CN3" s="1">
        <v>10</v>
      </c>
      <c r="CO3" s="1">
        <v>1</v>
      </c>
      <c r="CP3" s="1" t="s">
        <v>162</v>
      </c>
      <c r="CQ3" s="1" t="s">
        <v>99</v>
      </c>
      <c r="CS3" s="1" t="s">
        <v>100</v>
      </c>
      <c r="CT3" s="1">
        <v>59.768790410000001</v>
      </c>
      <c r="CU3" s="1" t="s">
        <v>163</v>
      </c>
    </row>
    <row r="4" spans="1:99" x14ac:dyDescent="0.35">
      <c r="A4" s="1" t="s">
        <v>107</v>
      </c>
      <c r="B4" s="1">
        <v>0</v>
      </c>
      <c r="C4" s="1">
        <v>0</v>
      </c>
      <c r="D4" s="1">
        <v>0</v>
      </c>
      <c r="M4" s="1">
        <v>0</v>
      </c>
      <c r="N4" s="1">
        <v>0</v>
      </c>
      <c r="O4" s="1">
        <v>0</v>
      </c>
      <c r="P4" s="1">
        <v>9</v>
      </c>
      <c r="AC4" s="1">
        <v>4.0369712</v>
      </c>
      <c r="AP4" s="1">
        <v>4.0324625000000003</v>
      </c>
      <c r="AQ4" s="1">
        <v>4.0369712</v>
      </c>
      <c r="AR4" s="1">
        <v>5.0372405999999996</v>
      </c>
      <c r="AS4" s="1">
        <v>5.0214565999999996</v>
      </c>
      <c r="AT4" s="1">
        <v>5.0215189999999996</v>
      </c>
      <c r="AU4" s="1">
        <v>5.0372405999999996</v>
      </c>
      <c r="AV4" s="1">
        <v>5.5374777000000002</v>
      </c>
      <c r="AW4" s="1">
        <v>5.5208769999999996</v>
      </c>
      <c r="CN4" s="1">
        <v>10</v>
      </c>
      <c r="CO4" s="1">
        <v>1</v>
      </c>
      <c r="CP4" s="1" t="s">
        <v>162</v>
      </c>
      <c r="CQ4" s="1" t="s">
        <v>99</v>
      </c>
      <c r="CS4" s="1" t="s">
        <v>100</v>
      </c>
      <c r="CT4" s="1">
        <v>59.768790410000001</v>
      </c>
      <c r="CU4" s="1" t="s">
        <v>163</v>
      </c>
    </row>
    <row r="5" spans="1:99" x14ac:dyDescent="0.35">
      <c r="A5" s="1" t="s">
        <v>110</v>
      </c>
      <c r="B5" s="1">
        <v>1</v>
      </c>
      <c r="C5" s="1">
        <v>1</v>
      </c>
      <c r="D5" s="1">
        <v>0</v>
      </c>
      <c r="M5" s="1">
        <v>0</v>
      </c>
      <c r="N5" s="1">
        <v>1</v>
      </c>
      <c r="O5" s="1">
        <v>1</v>
      </c>
      <c r="P5" s="1">
        <v>7</v>
      </c>
      <c r="AC5" s="1">
        <v>5.5374777000000002</v>
      </c>
      <c r="AP5" s="1">
        <v>5.5242883000000003</v>
      </c>
      <c r="AQ5" s="1">
        <v>5.5374777000000002</v>
      </c>
      <c r="AR5" s="1">
        <v>6.5369735000000002</v>
      </c>
      <c r="AS5" s="1">
        <v>6.5209178000000003</v>
      </c>
      <c r="AT5" s="1">
        <v>6.5209608000000001</v>
      </c>
      <c r="AU5" s="1">
        <v>6.5369735000000002</v>
      </c>
      <c r="AV5" s="1">
        <v>7.0371009000000004</v>
      </c>
      <c r="AW5" s="1">
        <v>7.0204673</v>
      </c>
      <c r="CN5" s="1">
        <v>10</v>
      </c>
      <c r="CO5" s="1">
        <v>1</v>
      </c>
      <c r="CP5" s="1" t="s">
        <v>162</v>
      </c>
      <c r="CQ5" s="1" t="s">
        <v>99</v>
      </c>
      <c r="CS5" s="1" t="s">
        <v>100</v>
      </c>
      <c r="CT5" s="1">
        <v>59.768790410000001</v>
      </c>
      <c r="CU5" s="1" t="s">
        <v>163</v>
      </c>
    </row>
    <row r="6" spans="1:99" x14ac:dyDescent="0.35">
      <c r="A6" s="1" t="s">
        <v>111</v>
      </c>
      <c r="B6" s="1">
        <v>2</v>
      </c>
      <c r="C6" s="1">
        <v>2</v>
      </c>
      <c r="D6" s="1">
        <v>0</v>
      </c>
      <c r="M6" s="1">
        <v>0</v>
      </c>
      <c r="N6" s="1">
        <v>2</v>
      </c>
      <c r="O6" s="1">
        <v>2</v>
      </c>
      <c r="P6" s="1">
        <v>3</v>
      </c>
      <c r="AC6" s="1">
        <v>7.0371009000000004</v>
      </c>
      <c r="AP6" s="1">
        <v>7.0235124000000004</v>
      </c>
      <c r="AQ6" s="1">
        <v>7.0371009000000004</v>
      </c>
      <c r="AR6" s="1">
        <v>8.0371725000000005</v>
      </c>
      <c r="AS6" s="1">
        <v>8.0215139999999998</v>
      </c>
      <c r="AT6" s="1">
        <v>8.0215624999999999</v>
      </c>
      <c r="AU6" s="1">
        <v>8.0371725000000005</v>
      </c>
      <c r="AV6" s="1">
        <v>8.5370408999999992</v>
      </c>
      <c r="AW6" s="1">
        <v>8.5206420000000005</v>
      </c>
      <c r="CN6" s="1">
        <v>10</v>
      </c>
      <c r="CO6" s="1">
        <v>1</v>
      </c>
      <c r="CP6" s="1" t="s">
        <v>162</v>
      </c>
      <c r="CQ6" s="1" t="s">
        <v>99</v>
      </c>
      <c r="CS6" s="1" t="s">
        <v>100</v>
      </c>
      <c r="CT6" s="1">
        <v>59.768790410000001</v>
      </c>
      <c r="CU6" s="1" t="s">
        <v>163</v>
      </c>
    </row>
    <row r="7" spans="1:99" x14ac:dyDescent="0.35">
      <c r="A7" s="1" t="s">
        <v>109</v>
      </c>
      <c r="B7" s="1">
        <v>3</v>
      </c>
      <c r="C7" s="1">
        <v>3</v>
      </c>
      <c r="D7" s="1">
        <v>0</v>
      </c>
      <c r="M7" s="1">
        <v>0</v>
      </c>
      <c r="N7" s="1">
        <v>3</v>
      </c>
      <c r="O7" s="1">
        <v>3</v>
      </c>
      <c r="P7" s="1">
        <v>8</v>
      </c>
      <c r="AC7" s="1">
        <v>8.5370408999999992</v>
      </c>
      <c r="AP7" s="1">
        <v>8.5240036000000003</v>
      </c>
      <c r="AQ7" s="1">
        <v>8.5370408999999992</v>
      </c>
      <c r="AR7" s="1">
        <v>9.5374368</v>
      </c>
      <c r="AS7" s="1">
        <v>9.5213432000000005</v>
      </c>
      <c r="AT7" s="1">
        <v>9.5214090999999996</v>
      </c>
      <c r="AU7" s="1">
        <v>9.5374368</v>
      </c>
      <c r="AV7" s="1">
        <v>10.0383076</v>
      </c>
      <c r="AW7" s="1">
        <v>10.0205921</v>
      </c>
      <c r="CN7" s="1">
        <v>10</v>
      </c>
      <c r="CO7" s="1">
        <v>1</v>
      </c>
      <c r="CP7" s="1" t="s">
        <v>162</v>
      </c>
      <c r="CQ7" s="1" t="s">
        <v>99</v>
      </c>
      <c r="CS7" s="1" t="s">
        <v>100</v>
      </c>
      <c r="CT7" s="1">
        <v>59.768790410000001</v>
      </c>
      <c r="CU7" s="1" t="s">
        <v>163</v>
      </c>
    </row>
    <row r="8" spans="1:99" x14ac:dyDescent="0.35">
      <c r="A8" s="1" t="s">
        <v>106</v>
      </c>
      <c r="B8" s="1">
        <v>4</v>
      </c>
      <c r="C8" s="1">
        <v>4</v>
      </c>
      <c r="D8" s="1">
        <v>0</v>
      </c>
      <c r="M8" s="1">
        <v>0</v>
      </c>
      <c r="N8" s="1">
        <v>4</v>
      </c>
      <c r="O8" s="1">
        <v>4</v>
      </c>
      <c r="P8" s="1">
        <v>0</v>
      </c>
      <c r="AC8" s="1">
        <v>10.0383076</v>
      </c>
      <c r="AP8" s="1">
        <v>10.0235333</v>
      </c>
      <c r="AQ8" s="1">
        <v>10.0383076</v>
      </c>
      <c r="AS8" s="1">
        <v>11.0375397</v>
      </c>
      <c r="AT8" s="1">
        <v>11.037646499999999</v>
      </c>
      <c r="AU8" s="1">
        <v>11.053733599999999</v>
      </c>
      <c r="AW8" s="1">
        <v>11.537206100000001</v>
      </c>
      <c r="CN8" s="1">
        <v>10</v>
      </c>
      <c r="CO8" s="1">
        <v>1</v>
      </c>
      <c r="CP8" s="1" t="s">
        <v>162</v>
      </c>
      <c r="CQ8" s="1" t="s">
        <v>99</v>
      </c>
      <c r="CS8" s="1" t="s">
        <v>100</v>
      </c>
      <c r="CT8" s="1">
        <v>59.768790410000001</v>
      </c>
      <c r="CU8" s="1" t="s">
        <v>163</v>
      </c>
    </row>
    <row r="9" spans="1:99" x14ac:dyDescent="0.35">
      <c r="A9" s="1" t="s">
        <v>104</v>
      </c>
      <c r="B9" s="1">
        <v>5</v>
      </c>
      <c r="C9" s="1">
        <v>5</v>
      </c>
      <c r="D9" s="1">
        <v>0</v>
      </c>
      <c r="M9" s="1">
        <v>0</v>
      </c>
      <c r="N9" s="1">
        <v>5</v>
      </c>
      <c r="O9" s="1">
        <v>5</v>
      </c>
      <c r="P9" s="1">
        <v>2</v>
      </c>
      <c r="AC9" s="1">
        <v>11.553433699999999</v>
      </c>
      <c r="AP9" s="1">
        <v>11.540207300000001</v>
      </c>
      <c r="AQ9" s="1">
        <v>11.553433699999999</v>
      </c>
      <c r="AS9" s="1">
        <v>12.538763100000001</v>
      </c>
      <c r="AT9" s="1">
        <v>12.5388179</v>
      </c>
      <c r="AU9" s="1">
        <v>12.553687500000001</v>
      </c>
      <c r="AW9" s="1">
        <v>13.0373863</v>
      </c>
      <c r="CN9" s="1">
        <v>10</v>
      </c>
      <c r="CO9" s="1">
        <v>1</v>
      </c>
      <c r="CP9" s="1" t="s">
        <v>162</v>
      </c>
      <c r="CQ9" s="1" t="s">
        <v>99</v>
      </c>
      <c r="CS9" s="1" t="s">
        <v>100</v>
      </c>
      <c r="CT9" s="1">
        <v>59.768790410000001</v>
      </c>
      <c r="CU9" s="1" t="s">
        <v>163</v>
      </c>
    </row>
    <row r="10" spans="1:99" x14ac:dyDescent="0.35">
      <c r="A10" s="1" t="s">
        <v>113</v>
      </c>
      <c r="B10" s="1">
        <v>6</v>
      </c>
      <c r="C10" s="1">
        <v>6</v>
      </c>
      <c r="D10" s="1">
        <v>0</v>
      </c>
      <c r="M10" s="1">
        <v>0</v>
      </c>
      <c r="N10" s="1">
        <v>6</v>
      </c>
      <c r="O10" s="1">
        <v>6</v>
      </c>
      <c r="P10" s="1">
        <v>5</v>
      </c>
      <c r="AC10" s="1">
        <v>13.0535213</v>
      </c>
      <c r="AP10" s="1">
        <v>13.0418585</v>
      </c>
      <c r="AQ10" s="1">
        <v>13.0535213</v>
      </c>
      <c r="AS10" s="1">
        <v>14.0372614</v>
      </c>
      <c r="AT10" s="1">
        <v>14.037331399999999</v>
      </c>
      <c r="AU10" s="1">
        <v>14.053729199999999</v>
      </c>
      <c r="AW10" s="1">
        <v>14.537546300000001</v>
      </c>
      <c r="CN10" s="1">
        <v>10</v>
      </c>
      <c r="CO10" s="1">
        <v>1</v>
      </c>
      <c r="CP10" s="1" t="s">
        <v>162</v>
      </c>
      <c r="CQ10" s="1" t="s">
        <v>99</v>
      </c>
      <c r="CS10" s="1" t="s">
        <v>100</v>
      </c>
      <c r="CT10" s="1">
        <v>59.768790410000001</v>
      </c>
      <c r="CU10" s="1" t="s">
        <v>163</v>
      </c>
    </row>
    <row r="11" spans="1:99" x14ac:dyDescent="0.35">
      <c r="A11" s="1" t="s">
        <v>108</v>
      </c>
      <c r="B11" s="1">
        <v>7</v>
      </c>
      <c r="C11" s="1">
        <v>7</v>
      </c>
      <c r="D11" s="1">
        <v>0</v>
      </c>
      <c r="M11" s="1">
        <v>0</v>
      </c>
      <c r="N11" s="1">
        <v>7</v>
      </c>
      <c r="O11" s="1">
        <v>7</v>
      </c>
      <c r="P11" s="1">
        <v>4</v>
      </c>
      <c r="AC11" s="1">
        <v>14.5535934</v>
      </c>
      <c r="AP11" s="1">
        <v>14.5413181</v>
      </c>
      <c r="AQ11" s="1">
        <v>14.5535934</v>
      </c>
      <c r="AS11" s="1">
        <v>15.5378428</v>
      </c>
      <c r="AT11" s="1">
        <v>15.5379273</v>
      </c>
      <c r="AU11" s="1">
        <v>15.5532798</v>
      </c>
      <c r="AW11" s="1">
        <v>16.037410099999999</v>
      </c>
      <c r="CN11" s="1">
        <v>10</v>
      </c>
      <c r="CO11" s="1">
        <v>1</v>
      </c>
      <c r="CP11" s="1" t="s">
        <v>162</v>
      </c>
      <c r="CQ11" s="1" t="s">
        <v>99</v>
      </c>
      <c r="CS11" s="1" t="s">
        <v>100</v>
      </c>
      <c r="CT11" s="1">
        <v>59.768790410000001</v>
      </c>
      <c r="CU11" s="1" t="s">
        <v>163</v>
      </c>
    </row>
    <row r="12" spans="1:99" x14ac:dyDescent="0.35">
      <c r="A12" s="1" t="s">
        <v>112</v>
      </c>
      <c r="B12" s="1">
        <v>8</v>
      </c>
      <c r="C12" s="1">
        <v>8</v>
      </c>
      <c r="D12" s="1">
        <v>0</v>
      </c>
      <c r="M12" s="1">
        <v>0</v>
      </c>
      <c r="N12" s="1">
        <v>8</v>
      </c>
      <c r="O12" s="1">
        <v>8</v>
      </c>
      <c r="P12" s="1">
        <v>6</v>
      </c>
      <c r="AC12" s="1">
        <v>16.053575899999998</v>
      </c>
      <c r="AP12" s="1">
        <v>16.040662999999999</v>
      </c>
      <c r="AQ12" s="1">
        <v>16.053575899999998</v>
      </c>
      <c r="AS12" s="1">
        <v>17.037766600000001</v>
      </c>
      <c r="AT12" s="1">
        <v>17.037853399999999</v>
      </c>
      <c r="AU12" s="1">
        <v>17.053732799999999</v>
      </c>
      <c r="AW12" s="1">
        <v>17.5374692</v>
      </c>
      <c r="CN12" s="1">
        <v>10</v>
      </c>
      <c r="CO12" s="1">
        <v>1</v>
      </c>
      <c r="CP12" s="1" t="s">
        <v>162</v>
      </c>
      <c r="CQ12" s="1" t="s">
        <v>99</v>
      </c>
      <c r="CS12" s="1" t="s">
        <v>100</v>
      </c>
      <c r="CT12" s="1">
        <v>59.768790410000001</v>
      </c>
      <c r="CU12" s="1" t="s">
        <v>163</v>
      </c>
    </row>
    <row r="13" spans="1:99" x14ac:dyDescent="0.35">
      <c r="A13" s="1" t="s">
        <v>105</v>
      </c>
      <c r="B13" s="1">
        <v>9</v>
      </c>
      <c r="C13" s="1">
        <v>9</v>
      </c>
      <c r="D13" s="1">
        <v>0</v>
      </c>
      <c r="M13" s="1">
        <v>0</v>
      </c>
      <c r="N13" s="1">
        <v>9</v>
      </c>
      <c r="O13" s="1">
        <v>9</v>
      </c>
      <c r="P13" s="1">
        <v>1</v>
      </c>
      <c r="AC13" s="1">
        <v>17.5535742</v>
      </c>
      <c r="AP13" s="1">
        <v>17.541248800000002</v>
      </c>
      <c r="AQ13" s="1">
        <v>17.5535742</v>
      </c>
      <c r="AS13" s="1">
        <v>18.537635699999999</v>
      </c>
      <c r="AT13" s="1">
        <v>18.537735099999999</v>
      </c>
      <c r="AU13" s="1">
        <v>18.554198800000002</v>
      </c>
      <c r="AW13" s="1">
        <v>19.037566399999999</v>
      </c>
      <c r="CN13" s="1">
        <v>10</v>
      </c>
      <c r="CO13" s="1">
        <v>1</v>
      </c>
      <c r="CP13" s="1" t="s">
        <v>162</v>
      </c>
      <c r="CQ13" s="1" t="s">
        <v>99</v>
      </c>
      <c r="CS13" s="1" t="s">
        <v>100</v>
      </c>
      <c r="CT13" s="1">
        <v>59.768790410000001</v>
      </c>
      <c r="CU13" s="1" t="s">
        <v>163</v>
      </c>
    </row>
    <row r="14" spans="1:99" x14ac:dyDescent="0.35">
      <c r="B14" s="1">
        <v>0</v>
      </c>
      <c r="C14" s="1">
        <v>0</v>
      </c>
      <c r="D14" s="1">
        <v>0</v>
      </c>
      <c r="E14" s="1" t="s">
        <v>116</v>
      </c>
      <c r="Q14" s="1">
        <v>0</v>
      </c>
      <c r="R14" s="1">
        <v>0</v>
      </c>
      <c r="S14" s="1">
        <v>0</v>
      </c>
      <c r="T14" s="1">
        <v>0</v>
      </c>
      <c r="AC14" s="1">
        <v>19.060629599999999</v>
      </c>
      <c r="AT14" s="1">
        <v>20.037548699999999</v>
      </c>
      <c r="AU14" s="1">
        <v>20.0538007</v>
      </c>
      <c r="AW14" s="1">
        <v>20.537374700000001</v>
      </c>
      <c r="AX14" s="1">
        <v>19.056841200000001</v>
      </c>
      <c r="AY14" s="1">
        <v>19.060629599999999</v>
      </c>
      <c r="AZ14" s="1">
        <v>20.037460299999999</v>
      </c>
      <c r="CN14" s="1">
        <v>10</v>
      </c>
      <c r="CO14" s="1">
        <v>1</v>
      </c>
      <c r="CP14" s="1" t="s">
        <v>162</v>
      </c>
      <c r="CQ14" s="1" t="s">
        <v>99</v>
      </c>
      <c r="CS14" s="1" t="s">
        <v>100</v>
      </c>
      <c r="CT14" s="1">
        <v>59.768790410000001</v>
      </c>
      <c r="CU14" s="1" t="s">
        <v>163</v>
      </c>
    </row>
    <row r="15" spans="1:99" x14ac:dyDescent="0.35">
      <c r="B15" s="1">
        <v>1</v>
      </c>
      <c r="C15" s="1">
        <v>1</v>
      </c>
      <c r="D15" s="1">
        <v>0</v>
      </c>
      <c r="E15" s="1" t="s">
        <v>115</v>
      </c>
      <c r="Q15" s="1">
        <v>0</v>
      </c>
      <c r="R15" s="1">
        <v>1</v>
      </c>
      <c r="S15" s="1">
        <v>1</v>
      </c>
      <c r="T15" s="1">
        <v>7</v>
      </c>
      <c r="AC15" s="1">
        <v>20.554051600000001</v>
      </c>
      <c r="AT15" s="1">
        <v>21.537230099999999</v>
      </c>
      <c r="AU15" s="1">
        <v>21.553760199999999</v>
      </c>
      <c r="AW15" s="1">
        <v>22.037813499999999</v>
      </c>
      <c r="AX15" s="1">
        <v>20.541498600000001</v>
      </c>
      <c r="AY15" s="1">
        <v>20.554051600000001</v>
      </c>
      <c r="AZ15" s="1">
        <v>21.537164000000001</v>
      </c>
      <c r="CN15" s="1">
        <v>10</v>
      </c>
      <c r="CO15" s="1">
        <v>1</v>
      </c>
      <c r="CP15" s="1" t="s">
        <v>162</v>
      </c>
      <c r="CQ15" s="1" t="s">
        <v>99</v>
      </c>
      <c r="CS15" s="1" t="s">
        <v>100</v>
      </c>
      <c r="CT15" s="1">
        <v>59.768790410000001</v>
      </c>
      <c r="CU15" s="1" t="s">
        <v>163</v>
      </c>
    </row>
    <row r="16" spans="1:99" x14ac:dyDescent="0.35">
      <c r="B16" s="1">
        <v>2</v>
      </c>
      <c r="C16" s="1">
        <v>2</v>
      </c>
      <c r="D16" s="1">
        <v>0</v>
      </c>
      <c r="E16" s="1" t="s">
        <v>120</v>
      </c>
      <c r="Q16" s="1">
        <v>0</v>
      </c>
      <c r="R16" s="1">
        <v>2</v>
      </c>
      <c r="S16" s="1">
        <v>2</v>
      </c>
      <c r="T16" s="1">
        <v>4</v>
      </c>
      <c r="AC16" s="1">
        <v>22.053509300000002</v>
      </c>
      <c r="AT16" s="1">
        <v>23.037627199999999</v>
      </c>
      <c r="AU16" s="1">
        <v>23.053574699999999</v>
      </c>
      <c r="AW16" s="1">
        <v>23.5380748</v>
      </c>
      <c r="AX16" s="1">
        <v>22.043332700000001</v>
      </c>
      <c r="AY16" s="1">
        <v>22.053509300000002</v>
      </c>
      <c r="AZ16" s="1">
        <v>23.037553800000001</v>
      </c>
      <c r="CN16" s="1">
        <v>10</v>
      </c>
      <c r="CO16" s="1">
        <v>1</v>
      </c>
      <c r="CP16" s="1" t="s">
        <v>162</v>
      </c>
      <c r="CQ16" s="1" t="s">
        <v>99</v>
      </c>
      <c r="CS16" s="1" t="s">
        <v>100</v>
      </c>
      <c r="CT16" s="1">
        <v>59.768790410000001</v>
      </c>
      <c r="CU16" s="1" t="s">
        <v>163</v>
      </c>
    </row>
    <row r="17" spans="2:99" x14ac:dyDescent="0.35">
      <c r="B17" s="1">
        <v>3</v>
      </c>
      <c r="C17" s="1">
        <v>3</v>
      </c>
      <c r="D17" s="1">
        <v>0</v>
      </c>
      <c r="E17" s="1" t="s">
        <v>121</v>
      </c>
      <c r="Q17" s="1">
        <v>0</v>
      </c>
      <c r="R17" s="1">
        <v>3</v>
      </c>
      <c r="S17" s="1">
        <v>3</v>
      </c>
      <c r="T17" s="1">
        <v>3</v>
      </c>
      <c r="AC17" s="1">
        <v>23.553344299999999</v>
      </c>
      <c r="AT17" s="1">
        <v>24.5379407</v>
      </c>
      <c r="AU17" s="1">
        <v>24.553700200000002</v>
      </c>
      <c r="AW17" s="1">
        <v>25.039237199999999</v>
      </c>
      <c r="AX17" s="1">
        <v>23.541682900000001</v>
      </c>
      <c r="AY17" s="1">
        <v>23.553344299999999</v>
      </c>
      <c r="AZ17" s="1">
        <v>24.5378656</v>
      </c>
      <c r="CN17" s="1">
        <v>10</v>
      </c>
      <c r="CO17" s="1">
        <v>1</v>
      </c>
      <c r="CP17" s="1" t="s">
        <v>162</v>
      </c>
      <c r="CQ17" s="1" t="s">
        <v>99</v>
      </c>
      <c r="CS17" s="1" t="s">
        <v>100</v>
      </c>
      <c r="CT17" s="1">
        <v>59.768790410000001</v>
      </c>
      <c r="CU17" s="1" t="s">
        <v>163</v>
      </c>
    </row>
    <row r="18" spans="2:99" x14ac:dyDescent="0.35">
      <c r="B18" s="1">
        <v>4</v>
      </c>
      <c r="C18" s="1">
        <v>4</v>
      </c>
      <c r="D18" s="1">
        <v>0</v>
      </c>
      <c r="E18" s="1" t="s">
        <v>122</v>
      </c>
      <c r="Q18" s="1">
        <v>0</v>
      </c>
      <c r="R18" s="1">
        <v>4</v>
      </c>
      <c r="S18" s="1">
        <v>4</v>
      </c>
      <c r="T18" s="1">
        <v>8</v>
      </c>
      <c r="AC18" s="1">
        <v>25.053877</v>
      </c>
      <c r="AT18" s="1">
        <v>26.038350399999999</v>
      </c>
      <c r="AU18" s="1">
        <v>26.054129499999998</v>
      </c>
      <c r="AW18" s="1">
        <v>26.5385612</v>
      </c>
      <c r="AX18" s="1">
        <v>25.0469735</v>
      </c>
      <c r="AY18" s="1">
        <v>25.053877</v>
      </c>
      <c r="AZ18" s="1">
        <v>26.038254800000001</v>
      </c>
      <c r="CN18" s="1">
        <v>10</v>
      </c>
      <c r="CO18" s="1">
        <v>1</v>
      </c>
      <c r="CP18" s="1" t="s">
        <v>162</v>
      </c>
      <c r="CQ18" s="1" t="s">
        <v>99</v>
      </c>
      <c r="CS18" s="1" t="s">
        <v>100</v>
      </c>
      <c r="CT18" s="1">
        <v>59.768790410000001</v>
      </c>
      <c r="CU18" s="1" t="s">
        <v>163</v>
      </c>
    </row>
    <row r="19" spans="2:99" x14ac:dyDescent="0.35">
      <c r="B19" s="1">
        <v>5</v>
      </c>
      <c r="C19" s="1">
        <v>5</v>
      </c>
      <c r="D19" s="1">
        <v>0</v>
      </c>
      <c r="E19" s="1" t="s">
        <v>119</v>
      </c>
      <c r="Q19" s="1">
        <v>0</v>
      </c>
      <c r="R19" s="1">
        <v>5</v>
      </c>
      <c r="S19" s="1">
        <v>5</v>
      </c>
      <c r="T19" s="1">
        <v>9</v>
      </c>
      <c r="AC19" s="1">
        <v>26.553752100000001</v>
      </c>
      <c r="AT19" s="1">
        <v>27.537570599999999</v>
      </c>
      <c r="AU19" s="1">
        <v>27.553373400000002</v>
      </c>
      <c r="AW19" s="1">
        <v>28.037495700000001</v>
      </c>
      <c r="AX19" s="1">
        <v>26.5452008</v>
      </c>
      <c r="AY19" s="1">
        <v>26.553752100000001</v>
      </c>
      <c r="AZ19" s="1">
        <v>27.537499100000002</v>
      </c>
      <c r="CN19" s="1">
        <v>10</v>
      </c>
      <c r="CO19" s="1">
        <v>1</v>
      </c>
      <c r="CP19" s="1" t="s">
        <v>162</v>
      </c>
      <c r="CQ19" s="1" t="s">
        <v>99</v>
      </c>
      <c r="CS19" s="1" t="s">
        <v>100</v>
      </c>
      <c r="CT19" s="1">
        <v>59.768790410000001</v>
      </c>
      <c r="CU19" s="1" t="s">
        <v>163</v>
      </c>
    </row>
    <row r="20" spans="2:99" x14ac:dyDescent="0.35">
      <c r="B20" s="1">
        <v>6</v>
      </c>
      <c r="C20" s="1">
        <v>6</v>
      </c>
      <c r="D20" s="1">
        <v>0</v>
      </c>
      <c r="E20" s="1" t="s">
        <v>123</v>
      </c>
      <c r="Q20" s="1">
        <v>0</v>
      </c>
      <c r="R20" s="1">
        <v>6</v>
      </c>
      <c r="S20" s="1">
        <v>6</v>
      </c>
      <c r="T20" s="1">
        <v>2</v>
      </c>
      <c r="AC20" s="1">
        <v>28.0531048</v>
      </c>
      <c r="AT20" s="1">
        <v>29.037333499999999</v>
      </c>
      <c r="AU20" s="1">
        <v>29.05397</v>
      </c>
      <c r="AW20" s="1">
        <v>29.5376595</v>
      </c>
      <c r="AX20" s="1">
        <v>28.043023000000002</v>
      </c>
      <c r="AY20" s="1">
        <v>28.0531048</v>
      </c>
      <c r="AZ20" s="1">
        <v>29.037270100000001</v>
      </c>
      <c r="CN20" s="1">
        <v>10</v>
      </c>
      <c r="CO20" s="1">
        <v>1</v>
      </c>
      <c r="CP20" s="1" t="s">
        <v>162</v>
      </c>
      <c r="CQ20" s="1" t="s">
        <v>99</v>
      </c>
      <c r="CS20" s="1" t="s">
        <v>100</v>
      </c>
      <c r="CT20" s="1">
        <v>59.768790410000001</v>
      </c>
      <c r="CU20" s="1" t="s">
        <v>163</v>
      </c>
    </row>
    <row r="21" spans="2:99" x14ac:dyDescent="0.35">
      <c r="B21" s="1">
        <v>7</v>
      </c>
      <c r="C21" s="1">
        <v>7</v>
      </c>
      <c r="D21" s="1">
        <v>0</v>
      </c>
      <c r="E21" s="1" t="s">
        <v>117</v>
      </c>
      <c r="Q21" s="1">
        <v>0</v>
      </c>
      <c r="R21" s="1">
        <v>7</v>
      </c>
      <c r="S21" s="1">
        <v>7</v>
      </c>
      <c r="T21" s="1">
        <v>1</v>
      </c>
      <c r="AC21" s="1">
        <v>29.554192199999999</v>
      </c>
      <c r="AT21" s="1">
        <v>30.5374713</v>
      </c>
      <c r="AU21" s="1">
        <v>30.5537542</v>
      </c>
      <c r="AW21" s="1">
        <v>31.037637499999999</v>
      </c>
      <c r="AX21" s="1">
        <v>29.5418889</v>
      </c>
      <c r="AY21" s="1">
        <v>29.554192199999999</v>
      </c>
      <c r="AZ21" s="1">
        <v>30.5373707</v>
      </c>
      <c r="CN21" s="1">
        <v>10</v>
      </c>
      <c r="CO21" s="1">
        <v>1</v>
      </c>
      <c r="CP21" s="1" t="s">
        <v>162</v>
      </c>
      <c r="CQ21" s="1" t="s">
        <v>99</v>
      </c>
      <c r="CS21" s="1" t="s">
        <v>100</v>
      </c>
      <c r="CT21" s="1">
        <v>59.768790410000001</v>
      </c>
      <c r="CU21" s="1" t="s">
        <v>163</v>
      </c>
    </row>
    <row r="22" spans="2:99" x14ac:dyDescent="0.35">
      <c r="B22" s="1">
        <v>8</v>
      </c>
      <c r="C22" s="1">
        <v>8</v>
      </c>
      <c r="D22" s="1">
        <v>0</v>
      </c>
      <c r="E22" s="1" t="s">
        <v>114</v>
      </c>
      <c r="Q22" s="1">
        <v>0</v>
      </c>
      <c r="R22" s="1">
        <v>8</v>
      </c>
      <c r="S22" s="1">
        <v>8</v>
      </c>
      <c r="T22" s="1">
        <v>5</v>
      </c>
      <c r="AC22" s="1">
        <v>31.053560999999998</v>
      </c>
      <c r="AT22" s="1">
        <v>32.037135999999997</v>
      </c>
      <c r="AU22" s="1">
        <v>32.053409299999998</v>
      </c>
      <c r="AW22" s="1">
        <v>32.537406699999998</v>
      </c>
      <c r="AX22" s="1">
        <v>31.043297500000001</v>
      </c>
      <c r="AY22" s="1">
        <v>31.053560999999998</v>
      </c>
      <c r="AZ22" s="1">
        <v>32.037077199999999</v>
      </c>
      <c r="CN22" s="1">
        <v>10</v>
      </c>
      <c r="CO22" s="1">
        <v>1</v>
      </c>
      <c r="CP22" s="1" t="s">
        <v>162</v>
      </c>
      <c r="CQ22" s="1" t="s">
        <v>99</v>
      </c>
      <c r="CS22" s="1" t="s">
        <v>100</v>
      </c>
      <c r="CT22" s="1">
        <v>59.768790410000001</v>
      </c>
      <c r="CU22" s="1" t="s">
        <v>163</v>
      </c>
    </row>
    <row r="23" spans="2:99" x14ac:dyDescent="0.35">
      <c r="B23" s="1">
        <v>9</v>
      </c>
      <c r="C23" s="1">
        <v>9</v>
      </c>
      <c r="D23" s="1">
        <v>0</v>
      </c>
      <c r="E23" s="1" t="s">
        <v>118</v>
      </c>
      <c r="Q23" s="1">
        <v>0</v>
      </c>
      <c r="R23" s="1">
        <v>9</v>
      </c>
      <c r="S23" s="1">
        <v>9</v>
      </c>
      <c r="T23" s="1">
        <v>6</v>
      </c>
      <c r="AC23" s="1">
        <v>32.553313799999998</v>
      </c>
      <c r="AT23" s="1">
        <v>33.5384356</v>
      </c>
      <c r="AU23" s="1">
        <v>33.553595000000001</v>
      </c>
      <c r="AW23" s="1">
        <v>34.037029400000002</v>
      </c>
      <c r="AX23" s="1">
        <v>32.541167799999997</v>
      </c>
      <c r="AY23" s="1">
        <v>32.553313799999998</v>
      </c>
      <c r="AZ23" s="1">
        <v>33.538365200000001</v>
      </c>
      <c r="CN23" s="1">
        <v>10</v>
      </c>
      <c r="CO23" s="1">
        <v>1</v>
      </c>
      <c r="CP23" s="1" t="s">
        <v>162</v>
      </c>
      <c r="CQ23" s="1" t="s">
        <v>99</v>
      </c>
      <c r="CS23" s="1" t="s">
        <v>100</v>
      </c>
      <c r="CT23" s="1">
        <v>59.768790410000001</v>
      </c>
      <c r="CU23" s="1" t="s">
        <v>163</v>
      </c>
    </row>
    <row r="24" spans="2:99" x14ac:dyDescent="0.35">
      <c r="B24" s="1">
        <v>0</v>
      </c>
      <c r="C24" s="1">
        <v>0</v>
      </c>
      <c r="D24" s="1">
        <v>0</v>
      </c>
      <c r="F24" s="1" t="s">
        <v>124</v>
      </c>
      <c r="U24" s="1">
        <v>0</v>
      </c>
      <c r="V24" s="1">
        <v>0</v>
      </c>
      <c r="W24" s="1">
        <v>0</v>
      </c>
      <c r="X24" s="1">
        <v>7</v>
      </c>
      <c r="AC24" s="1">
        <v>34.134168899999999</v>
      </c>
      <c r="AT24" s="1">
        <v>35.036885499999997</v>
      </c>
      <c r="AU24" s="1">
        <v>35.053313099999997</v>
      </c>
      <c r="AW24" s="1">
        <v>35.537104100000001</v>
      </c>
      <c r="BA24" s="1">
        <v>34.130111200000002</v>
      </c>
      <c r="BB24" s="1">
        <v>34.134168899999999</v>
      </c>
      <c r="BC24" s="1">
        <v>35.0368377</v>
      </c>
      <c r="CN24" s="1">
        <v>10</v>
      </c>
      <c r="CO24" s="1">
        <v>1</v>
      </c>
      <c r="CP24" s="1" t="s">
        <v>162</v>
      </c>
      <c r="CQ24" s="1" t="s">
        <v>99</v>
      </c>
      <c r="CS24" s="1" t="s">
        <v>100</v>
      </c>
      <c r="CT24" s="1">
        <v>59.768790410000001</v>
      </c>
      <c r="CU24" s="1" t="s">
        <v>163</v>
      </c>
    </row>
    <row r="25" spans="2:99" x14ac:dyDescent="0.35">
      <c r="B25" s="1">
        <v>1</v>
      </c>
      <c r="C25" s="1">
        <v>1</v>
      </c>
      <c r="D25" s="1">
        <v>0</v>
      </c>
      <c r="F25" s="1" t="s">
        <v>133</v>
      </c>
      <c r="U25" s="1">
        <v>0</v>
      </c>
      <c r="V25" s="1">
        <v>1</v>
      </c>
      <c r="W25" s="1">
        <v>1</v>
      </c>
      <c r="X25" s="1">
        <v>1</v>
      </c>
      <c r="AC25" s="1">
        <v>35.554000100000003</v>
      </c>
      <c r="AT25" s="1">
        <v>36.536940800000004</v>
      </c>
      <c r="AU25" s="1">
        <v>36.5535949</v>
      </c>
      <c r="AW25" s="1">
        <v>37.0370627</v>
      </c>
      <c r="BA25" s="1">
        <v>35.540517000000001</v>
      </c>
      <c r="BB25" s="1">
        <v>35.554000100000003</v>
      </c>
      <c r="BC25" s="1">
        <v>36.5368675</v>
      </c>
      <c r="CN25" s="1">
        <v>10</v>
      </c>
      <c r="CO25" s="1">
        <v>1</v>
      </c>
      <c r="CP25" s="1" t="s">
        <v>162</v>
      </c>
      <c r="CQ25" s="1" t="s">
        <v>99</v>
      </c>
      <c r="CS25" s="1" t="s">
        <v>100</v>
      </c>
      <c r="CT25" s="1">
        <v>59.768790410000001</v>
      </c>
      <c r="CU25" s="1" t="s">
        <v>163</v>
      </c>
    </row>
    <row r="26" spans="2:99" x14ac:dyDescent="0.35">
      <c r="B26" s="1">
        <v>2</v>
      </c>
      <c r="C26" s="1">
        <v>2</v>
      </c>
      <c r="D26" s="1">
        <v>0</v>
      </c>
      <c r="F26" s="1" t="s">
        <v>129</v>
      </c>
      <c r="U26" s="1">
        <v>0</v>
      </c>
      <c r="V26" s="1">
        <v>2</v>
      </c>
      <c r="W26" s="1">
        <v>2</v>
      </c>
      <c r="X26" s="1">
        <v>0</v>
      </c>
      <c r="AC26" s="1">
        <v>37.053247599999999</v>
      </c>
      <c r="AT26" s="1">
        <v>38.036883400000001</v>
      </c>
      <c r="AU26" s="1">
        <v>38.053286200000002</v>
      </c>
      <c r="AW26" s="1">
        <v>38.537322699999997</v>
      </c>
      <c r="BA26" s="1">
        <v>37.041646</v>
      </c>
      <c r="BB26" s="1">
        <v>37.053247599999999</v>
      </c>
      <c r="BC26" s="1">
        <v>38.0368323</v>
      </c>
      <c r="CN26" s="1">
        <v>10</v>
      </c>
      <c r="CO26" s="1">
        <v>1</v>
      </c>
      <c r="CP26" s="1" t="s">
        <v>162</v>
      </c>
      <c r="CQ26" s="1" t="s">
        <v>99</v>
      </c>
      <c r="CS26" s="1" t="s">
        <v>100</v>
      </c>
      <c r="CT26" s="1">
        <v>59.768790410000001</v>
      </c>
      <c r="CU26" s="1" t="s">
        <v>163</v>
      </c>
    </row>
    <row r="27" spans="2:99" x14ac:dyDescent="0.35">
      <c r="B27" s="1">
        <v>3</v>
      </c>
      <c r="C27" s="1">
        <v>3</v>
      </c>
      <c r="D27" s="1">
        <v>0</v>
      </c>
      <c r="F27" s="1" t="s">
        <v>131</v>
      </c>
      <c r="U27" s="1">
        <v>0</v>
      </c>
      <c r="V27" s="1">
        <v>3</v>
      </c>
      <c r="W27" s="1">
        <v>3</v>
      </c>
      <c r="X27" s="1">
        <v>2</v>
      </c>
      <c r="AC27" s="1">
        <v>38.553489800000001</v>
      </c>
      <c r="AT27" s="1">
        <v>39.537402299999997</v>
      </c>
      <c r="AU27" s="1">
        <v>39.553902100000002</v>
      </c>
      <c r="AW27" s="1">
        <v>40.037191700000001</v>
      </c>
      <c r="BA27" s="1">
        <v>38.541505000000001</v>
      </c>
      <c r="BB27" s="1">
        <v>38.553489800000001</v>
      </c>
      <c r="BC27" s="1">
        <v>39.537312700000001</v>
      </c>
      <c r="CN27" s="1">
        <v>10</v>
      </c>
      <c r="CO27" s="1">
        <v>1</v>
      </c>
      <c r="CP27" s="1" t="s">
        <v>162</v>
      </c>
      <c r="CQ27" s="1" t="s">
        <v>99</v>
      </c>
      <c r="CS27" s="1" t="s">
        <v>100</v>
      </c>
      <c r="CT27" s="1">
        <v>59.768790410000001</v>
      </c>
      <c r="CU27" s="1" t="s">
        <v>163</v>
      </c>
    </row>
    <row r="28" spans="2:99" x14ac:dyDescent="0.35">
      <c r="B28" s="1">
        <v>4</v>
      </c>
      <c r="C28" s="1">
        <v>4</v>
      </c>
      <c r="D28" s="1">
        <v>0</v>
      </c>
      <c r="F28" s="1" t="s">
        <v>128</v>
      </c>
      <c r="U28" s="1">
        <v>0</v>
      </c>
      <c r="V28" s="1">
        <v>4</v>
      </c>
      <c r="W28" s="1">
        <v>4</v>
      </c>
      <c r="X28" s="1">
        <v>6</v>
      </c>
      <c r="AC28" s="1">
        <v>40.053596800000001</v>
      </c>
      <c r="AT28" s="1">
        <v>41.037609400000001</v>
      </c>
      <c r="AU28" s="1">
        <v>41.0536253</v>
      </c>
      <c r="AW28" s="1">
        <v>41.537657199999998</v>
      </c>
      <c r="BA28" s="1">
        <v>40.041679700000003</v>
      </c>
      <c r="BB28" s="1">
        <v>40.053596800000001</v>
      </c>
      <c r="BC28" s="1">
        <v>41.037518800000001</v>
      </c>
      <c r="CN28" s="1">
        <v>10</v>
      </c>
      <c r="CO28" s="1">
        <v>1</v>
      </c>
      <c r="CP28" s="1" t="s">
        <v>162</v>
      </c>
      <c r="CQ28" s="1" t="s">
        <v>99</v>
      </c>
      <c r="CS28" s="1" t="s">
        <v>100</v>
      </c>
      <c r="CT28" s="1">
        <v>59.768790410000001</v>
      </c>
      <c r="CU28" s="1" t="s">
        <v>163</v>
      </c>
    </row>
    <row r="29" spans="2:99" x14ac:dyDescent="0.35">
      <c r="B29" s="1">
        <v>5</v>
      </c>
      <c r="C29" s="1">
        <v>5</v>
      </c>
      <c r="D29" s="1">
        <v>0</v>
      </c>
      <c r="F29" s="1" t="s">
        <v>125</v>
      </c>
      <c r="U29" s="1">
        <v>0</v>
      </c>
      <c r="V29" s="1">
        <v>5</v>
      </c>
      <c r="W29" s="1">
        <v>5</v>
      </c>
      <c r="X29" s="1">
        <v>8</v>
      </c>
      <c r="AC29" s="1">
        <v>41.553614500000002</v>
      </c>
      <c r="AT29" s="1">
        <v>42.537002600000001</v>
      </c>
      <c r="AU29" s="1">
        <v>42.553538000000003</v>
      </c>
      <c r="AW29" s="1">
        <v>43.037482500000003</v>
      </c>
      <c r="BA29" s="1">
        <v>41.543081899999997</v>
      </c>
      <c r="BB29" s="1">
        <v>41.553614500000002</v>
      </c>
      <c r="BC29" s="1">
        <v>42.536947400000003</v>
      </c>
      <c r="CN29" s="1">
        <v>10</v>
      </c>
      <c r="CO29" s="1">
        <v>1</v>
      </c>
      <c r="CP29" s="1" t="s">
        <v>162</v>
      </c>
      <c r="CQ29" s="1" t="s">
        <v>99</v>
      </c>
      <c r="CS29" s="1" t="s">
        <v>100</v>
      </c>
      <c r="CT29" s="1">
        <v>59.768790410000001</v>
      </c>
      <c r="CU29" s="1" t="s">
        <v>163</v>
      </c>
    </row>
    <row r="30" spans="2:99" x14ac:dyDescent="0.35">
      <c r="B30" s="1">
        <v>6</v>
      </c>
      <c r="C30" s="1">
        <v>6</v>
      </c>
      <c r="D30" s="1">
        <v>0</v>
      </c>
      <c r="F30" s="1" t="s">
        <v>127</v>
      </c>
      <c r="U30" s="1">
        <v>0</v>
      </c>
      <c r="V30" s="1">
        <v>6</v>
      </c>
      <c r="W30" s="1">
        <v>6</v>
      </c>
      <c r="X30" s="1">
        <v>5</v>
      </c>
      <c r="AC30" s="1">
        <v>43.053437799999998</v>
      </c>
      <c r="AT30" s="1">
        <v>44.037286899999998</v>
      </c>
      <c r="AU30" s="1">
        <v>44.053494100000002</v>
      </c>
      <c r="AW30" s="1">
        <v>44.537002700000002</v>
      </c>
      <c r="BA30" s="1">
        <v>43.042019699999997</v>
      </c>
      <c r="BB30" s="1">
        <v>43.053437799999998</v>
      </c>
      <c r="BC30" s="1">
        <v>44.037201799999998</v>
      </c>
      <c r="CN30" s="1">
        <v>10</v>
      </c>
      <c r="CO30" s="1">
        <v>1</v>
      </c>
      <c r="CP30" s="1" t="s">
        <v>162</v>
      </c>
      <c r="CQ30" s="1" t="s">
        <v>99</v>
      </c>
      <c r="CS30" s="1" t="s">
        <v>100</v>
      </c>
      <c r="CT30" s="1">
        <v>59.768790410000001</v>
      </c>
      <c r="CU30" s="1" t="s">
        <v>163</v>
      </c>
    </row>
    <row r="31" spans="2:99" x14ac:dyDescent="0.35">
      <c r="B31" s="1">
        <v>7</v>
      </c>
      <c r="C31" s="1">
        <v>7</v>
      </c>
      <c r="D31" s="1">
        <v>0</v>
      </c>
      <c r="F31" s="1" t="s">
        <v>130</v>
      </c>
      <c r="U31" s="1">
        <v>0</v>
      </c>
      <c r="V31" s="1">
        <v>7</v>
      </c>
      <c r="W31" s="1">
        <v>7</v>
      </c>
      <c r="X31" s="1">
        <v>3</v>
      </c>
      <c r="AC31" s="1">
        <v>44.553733299999998</v>
      </c>
      <c r="AT31" s="1">
        <v>45.538080399999998</v>
      </c>
      <c r="AU31" s="1">
        <v>45.553477299999997</v>
      </c>
      <c r="AW31" s="1">
        <v>46.037311799999998</v>
      </c>
      <c r="BA31" s="1">
        <v>44.540522600000003</v>
      </c>
      <c r="BB31" s="1">
        <v>44.553733299999998</v>
      </c>
      <c r="BC31" s="1">
        <v>45.537934700000001</v>
      </c>
      <c r="CN31" s="1">
        <v>10</v>
      </c>
      <c r="CO31" s="1">
        <v>1</v>
      </c>
      <c r="CP31" s="1" t="s">
        <v>162</v>
      </c>
      <c r="CQ31" s="1" t="s">
        <v>99</v>
      </c>
      <c r="CS31" s="1" t="s">
        <v>100</v>
      </c>
      <c r="CT31" s="1">
        <v>59.768790410000001</v>
      </c>
      <c r="CU31" s="1" t="s">
        <v>163</v>
      </c>
    </row>
    <row r="32" spans="2:99" x14ac:dyDescent="0.35">
      <c r="B32" s="1">
        <v>8</v>
      </c>
      <c r="C32" s="1">
        <v>8</v>
      </c>
      <c r="D32" s="1">
        <v>0</v>
      </c>
      <c r="F32" s="1" t="s">
        <v>132</v>
      </c>
      <c r="U32" s="1">
        <v>0</v>
      </c>
      <c r="V32" s="1">
        <v>8</v>
      </c>
      <c r="W32" s="1">
        <v>8</v>
      </c>
      <c r="X32" s="1">
        <v>9</v>
      </c>
      <c r="AC32" s="1">
        <v>46.0531115</v>
      </c>
      <c r="AT32" s="1">
        <v>47.036946999999998</v>
      </c>
      <c r="AU32" s="1">
        <v>47.053257700000003</v>
      </c>
      <c r="AW32" s="1">
        <v>47.536944599999998</v>
      </c>
      <c r="BA32" s="1">
        <v>46.043345799999997</v>
      </c>
      <c r="BB32" s="1">
        <v>46.0531115</v>
      </c>
      <c r="BC32" s="1">
        <v>47.036874599999997</v>
      </c>
      <c r="CN32" s="1">
        <v>10</v>
      </c>
      <c r="CO32" s="1">
        <v>1</v>
      </c>
      <c r="CP32" s="1" t="s">
        <v>162</v>
      </c>
      <c r="CQ32" s="1" t="s">
        <v>99</v>
      </c>
      <c r="CS32" s="1" t="s">
        <v>100</v>
      </c>
      <c r="CT32" s="1">
        <v>59.768790410000001</v>
      </c>
      <c r="CU32" s="1" t="s">
        <v>163</v>
      </c>
    </row>
    <row r="33" spans="2:99" x14ac:dyDescent="0.35">
      <c r="B33" s="1">
        <v>9</v>
      </c>
      <c r="C33" s="1">
        <v>9</v>
      </c>
      <c r="D33" s="1">
        <v>0</v>
      </c>
      <c r="F33" s="1" t="s">
        <v>126</v>
      </c>
      <c r="U33" s="1">
        <v>0</v>
      </c>
      <c r="V33" s="1">
        <v>9</v>
      </c>
      <c r="W33" s="1">
        <v>9</v>
      </c>
      <c r="X33" s="1">
        <v>4</v>
      </c>
      <c r="AC33" s="1">
        <v>47.553223199999998</v>
      </c>
      <c r="AT33" s="1">
        <v>48.537003499999997</v>
      </c>
      <c r="AU33" s="1">
        <v>48.553554099999999</v>
      </c>
      <c r="AW33" s="1">
        <v>49.037293699999999</v>
      </c>
      <c r="BA33" s="1">
        <v>47.540333199999999</v>
      </c>
      <c r="BB33" s="1">
        <v>47.553223199999998</v>
      </c>
      <c r="BC33" s="1">
        <v>48.5369399</v>
      </c>
      <c r="CN33" s="1">
        <v>10</v>
      </c>
      <c r="CO33" s="1">
        <v>1</v>
      </c>
      <c r="CP33" s="1" t="s">
        <v>162</v>
      </c>
      <c r="CQ33" s="1" t="s">
        <v>99</v>
      </c>
      <c r="CS33" s="1" t="s">
        <v>100</v>
      </c>
      <c r="CT33" s="1">
        <v>59.768790410000001</v>
      </c>
      <c r="CU33" s="1" t="s">
        <v>163</v>
      </c>
    </row>
    <row r="34" spans="2:99" x14ac:dyDescent="0.35">
      <c r="BD34" s="1">
        <v>49.037543700000001</v>
      </c>
      <c r="BE34" s="1">
        <v>49.053558199999998</v>
      </c>
      <c r="BF34" s="1">
        <v>49.053558199999998</v>
      </c>
      <c r="BG34" s="1">
        <v>50.903900499999999</v>
      </c>
      <c r="BH34" s="1" t="s">
        <v>102</v>
      </c>
      <c r="BI34" s="1">
        <v>1.8494784</v>
      </c>
      <c r="BJ34" s="1" t="s">
        <v>103</v>
      </c>
      <c r="CN34" s="1">
        <v>10</v>
      </c>
      <c r="CO34" s="1">
        <v>1</v>
      </c>
      <c r="CP34" s="1" t="s">
        <v>162</v>
      </c>
      <c r="CQ34" s="1" t="s">
        <v>99</v>
      </c>
      <c r="CS34" s="1" t="s">
        <v>100</v>
      </c>
      <c r="CT34" s="1">
        <v>59.768790410000001</v>
      </c>
      <c r="CU34" s="1" t="s">
        <v>163</v>
      </c>
    </row>
    <row r="35" spans="2:99" x14ac:dyDescent="0.35">
      <c r="BK35" s="1">
        <v>50.903980300000001</v>
      </c>
      <c r="BL35" s="1">
        <v>50.919826800000003</v>
      </c>
      <c r="BM35" s="1">
        <v>50.919826800000003</v>
      </c>
      <c r="BN35" s="1">
        <v>51.8038065</v>
      </c>
      <c r="BO35" s="1">
        <v>3</v>
      </c>
      <c r="BP35" s="1">
        <v>0.86672419999999994</v>
      </c>
      <c r="BQ35" s="1" t="s">
        <v>103</v>
      </c>
      <c r="CN35" s="1">
        <v>10</v>
      </c>
      <c r="CO35" s="1">
        <v>1</v>
      </c>
      <c r="CP35" s="1" t="s">
        <v>162</v>
      </c>
      <c r="CQ35" s="1" t="s">
        <v>99</v>
      </c>
      <c r="CS35" s="1" t="s">
        <v>100</v>
      </c>
      <c r="CT35" s="1">
        <v>59.768790410000001</v>
      </c>
      <c r="CU35" s="1" t="s">
        <v>163</v>
      </c>
    </row>
    <row r="36" spans="2:99" x14ac:dyDescent="0.35">
      <c r="BR36" s="1">
        <v>51.803927600000002</v>
      </c>
      <c r="BS36" s="1">
        <v>51.819798400000003</v>
      </c>
      <c r="BT36" s="1">
        <v>51.819798400000003</v>
      </c>
      <c r="BU36" s="1">
        <v>53.537562100000002</v>
      </c>
      <c r="BV36" s="1" t="s">
        <v>102</v>
      </c>
      <c r="BW36" s="1">
        <v>1.7013313999999999</v>
      </c>
      <c r="BX36" s="1" t="s">
        <v>103</v>
      </c>
      <c r="CN36" s="1">
        <v>10</v>
      </c>
      <c r="CO36" s="1">
        <v>1</v>
      </c>
      <c r="CP36" s="1" t="s">
        <v>162</v>
      </c>
      <c r="CQ36" s="1" t="s">
        <v>99</v>
      </c>
      <c r="CS36" s="1" t="s">
        <v>100</v>
      </c>
      <c r="CT36" s="1">
        <v>59.768790410000001</v>
      </c>
      <c r="CU36" s="1" t="s">
        <v>163</v>
      </c>
    </row>
    <row r="37" spans="2:99" x14ac:dyDescent="0.35">
      <c r="B37" s="1">
        <v>0</v>
      </c>
      <c r="C37" s="1">
        <v>0</v>
      </c>
      <c r="D37" s="1">
        <v>0</v>
      </c>
      <c r="G37" s="1" t="s">
        <v>139</v>
      </c>
      <c r="H37" s="1" t="s">
        <v>136</v>
      </c>
      <c r="I37" s="1" t="s">
        <v>136</v>
      </c>
      <c r="J37" s="1">
        <v>1</v>
      </c>
      <c r="K37" s="1">
        <v>1.9207936999999999</v>
      </c>
      <c r="L37" s="1" t="s">
        <v>103</v>
      </c>
      <c r="Y37" s="1">
        <v>0</v>
      </c>
      <c r="Z37" s="1">
        <v>0</v>
      </c>
      <c r="AA37" s="1">
        <v>0</v>
      </c>
      <c r="AB37" s="1">
        <v>9</v>
      </c>
      <c r="AC37" s="1">
        <v>53.558639399999997</v>
      </c>
      <c r="AT37" s="1">
        <v>55.487245700000003</v>
      </c>
      <c r="AU37" s="1">
        <v>55.503151899999999</v>
      </c>
      <c r="AV37" s="1">
        <v>56.003025700000002</v>
      </c>
      <c r="AW37" s="1">
        <v>55.986733700000002</v>
      </c>
      <c r="BY37" s="1">
        <v>53.554886600000003</v>
      </c>
      <c r="BZ37" s="1">
        <v>53.558639399999997</v>
      </c>
      <c r="CA37" s="1">
        <v>53.558639399999997</v>
      </c>
      <c r="CB37" s="1">
        <v>55.487132500000001</v>
      </c>
      <c r="CC37" s="1" t="s">
        <v>136</v>
      </c>
      <c r="CD37" s="1">
        <v>1</v>
      </c>
      <c r="CE37" s="1">
        <v>1.9207936999999999</v>
      </c>
      <c r="CF37" s="1" t="s">
        <v>103</v>
      </c>
      <c r="CN37" s="1">
        <v>10</v>
      </c>
      <c r="CO37" s="1">
        <v>1</v>
      </c>
      <c r="CP37" s="1" t="s">
        <v>162</v>
      </c>
      <c r="CQ37" s="1" t="s">
        <v>99</v>
      </c>
      <c r="CS37" s="1" t="s">
        <v>100</v>
      </c>
      <c r="CT37" s="1">
        <v>59.768790410000001</v>
      </c>
      <c r="CU37" s="1" t="s">
        <v>163</v>
      </c>
    </row>
    <row r="38" spans="2:99" x14ac:dyDescent="0.35">
      <c r="B38" s="1">
        <v>1</v>
      </c>
      <c r="C38" s="1">
        <v>1</v>
      </c>
      <c r="D38" s="1">
        <v>0</v>
      </c>
      <c r="G38" s="1" t="s">
        <v>138</v>
      </c>
      <c r="H38" s="1" t="s">
        <v>136</v>
      </c>
      <c r="I38" s="1" t="s">
        <v>134</v>
      </c>
      <c r="J38" s="1">
        <v>0</v>
      </c>
      <c r="K38" s="1">
        <v>2.5345070000000001</v>
      </c>
      <c r="L38" s="1" t="s">
        <v>103</v>
      </c>
      <c r="Y38" s="1">
        <v>0</v>
      </c>
      <c r="Z38" s="1">
        <v>1</v>
      </c>
      <c r="AA38" s="1">
        <v>1</v>
      </c>
      <c r="AB38" s="1">
        <v>0</v>
      </c>
      <c r="AC38" s="1">
        <v>56.003025700000002</v>
      </c>
      <c r="AT38" s="1">
        <v>58.553633599999998</v>
      </c>
      <c r="AU38" s="1">
        <v>58.569546000000003</v>
      </c>
      <c r="AV38" s="1">
        <v>59.0696406</v>
      </c>
      <c r="AW38" s="1">
        <v>59.0537037</v>
      </c>
      <c r="BY38" s="1">
        <v>55.990525499999997</v>
      </c>
      <c r="BZ38" s="1">
        <v>56.003025700000002</v>
      </c>
      <c r="CA38" s="1">
        <v>56.003025700000002</v>
      </c>
      <c r="CB38" s="1">
        <v>58.553542700000001</v>
      </c>
      <c r="CC38" s="1" t="s">
        <v>134</v>
      </c>
      <c r="CD38" s="1">
        <v>0</v>
      </c>
      <c r="CE38" s="1">
        <v>2.5345070000000001</v>
      </c>
      <c r="CF38" s="1" t="s">
        <v>103</v>
      </c>
      <c r="CN38" s="1">
        <v>10</v>
      </c>
      <c r="CO38" s="1">
        <v>1</v>
      </c>
      <c r="CP38" s="1" t="s">
        <v>162</v>
      </c>
      <c r="CQ38" s="1" t="s">
        <v>99</v>
      </c>
      <c r="CS38" s="1" t="s">
        <v>100</v>
      </c>
      <c r="CT38" s="1">
        <v>59.768790410000001</v>
      </c>
      <c r="CU38" s="1" t="s">
        <v>163</v>
      </c>
    </row>
    <row r="39" spans="2:99" x14ac:dyDescent="0.35">
      <c r="B39" s="1">
        <v>2</v>
      </c>
      <c r="C39" s="1">
        <v>2</v>
      </c>
      <c r="D39" s="1">
        <v>0</v>
      </c>
      <c r="G39" s="1" t="s">
        <v>140</v>
      </c>
      <c r="H39" s="1" t="s">
        <v>136</v>
      </c>
      <c r="I39" s="1" t="s">
        <v>136</v>
      </c>
      <c r="J39" s="1">
        <v>1</v>
      </c>
      <c r="K39" s="1">
        <v>1.4888425000000001</v>
      </c>
      <c r="L39" s="1" t="s">
        <v>103</v>
      </c>
      <c r="Y39" s="1">
        <v>0</v>
      </c>
      <c r="Z39" s="1">
        <v>2</v>
      </c>
      <c r="AA39" s="1">
        <v>2</v>
      </c>
      <c r="AB39" s="1">
        <v>2</v>
      </c>
      <c r="AC39" s="1">
        <v>59.0696406</v>
      </c>
      <c r="AT39" s="1">
        <v>60.570107800000002</v>
      </c>
      <c r="AU39" s="1">
        <v>60.586254799999999</v>
      </c>
      <c r="AW39" s="1">
        <v>61.070226499999997</v>
      </c>
      <c r="BY39" s="1">
        <v>59.057847799999998</v>
      </c>
      <c r="BZ39" s="1">
        <v>59.0696406</v>
      </c>
      <c r="CA39" s="1">
        <v>59.0696406</v>
      </c>
      <c r="CB39" s="1">
        <v>60.570028399999998</v>
      </c>
      <c r="CC39" s="1" t="s">
        <v>136</v>
      </c>
      <c r="CD39" s="1">
        <v>1</v>
      </c>
      <c r="CE39" s="1">
        <v>1.4888425000000001</v>
      </c>
      <c r="CF39" s="1" t="s">
        <v>103</v>
      </c>
      <c r="CN39" s="1">
        <v>10</v>
      </c>
      <c r="CO39" s="1">
        <v>1</v>
      </c>
      <c r="CP39" s="1" t="s">
        <v>162</v>
      </c>
      <c r="CQ39" s="1" t="s">
        <v>99</v>
      </c>
      <c r="CS39" s="1" t="s">
        <v>100</v>
      </c>
      <c r="CT39" s="1">
        <v>59.768790410000001</v>
      </c>
      <c r="CU39" s="1" t="s">
        <v>163</v>
      </c>
    </row>
    <row r="40" spans="2:99" x14ac:dyDescent="0.35">
      <c r="B40" s="1">
        <v>3</v>
      </c>
      <c r="C40" s="1">
        <v>3</v>
      </c>
      <c r="D40" s="1">
        <v>0</v>
      </c>
      <c r="G40" s="1" t="s">
        <v>137</v>
      </c>
      <c r="H40" s="1" t="s">
        <v>136</v>
      </c>
      <c r="I40" s="1" t="s">
        <v>136</v>
      </c>
      <c r="J40" s="1">
        <v>1</v>
      </c>
      <c r="K40" s="1">
        <v>1.4169613000000001</v>
      </c>
      <c r="L40" s="1" t="s">
        <v>103</v>
      </c>
      <c r="Y40" s="1">
        <v>0</v>
      </c>
      <c r="Z40" s="1">
        <v>3</v>
      </c>
      <c r="AA40" s="1">
        <v>3</v>
      </c>
      <c r="AB40" s="1">
        <v>7</v>
      </c>
      <c r="AC40" s="1">
        <v>61.0864774</v>
      </c>
      <c r="AT40" s="1">
        <v>62.504262400000002</v>
      </c>
      <c r="AU40" s="1">
        <v>62.519330600000004</v>
      </c>
      <c r="AV40" s="1">
        <v>63.019271099999997</v>
      </c>
      <c r="AW40" s="1">
        <v>63.003422</v>
      </c>
      <c r="BY40" s="1">
        <v>61.074456300000001</v>
      </c>
      <c r="BZ40" s="1">
        <v>61.0864774</v>
      </c>
      <c r="CA40" s="1">
        <v>61.0864774</v>
      </c>
      <c r="CB40" s="1">
        <v>62.504153700000003</v>
      </c>
      <c r="CC40" s="1" t="s">
        <v>136</v>
      </c>
      <c r="CD40" s="1">
        <v>1</v>
      </c>
      <c r="CE40" s="1">
        <v>1.4169613000000001</v>
      </c>
      <c r="CF40" s="1" t="s">
        <v>103</v>
      </c>
      <c r="CN40" s="1">
        <v>10</v>
      </c>
      <c r="CO40" s="1">
        <v>1</v>
      </c>
      <c r="CP40" s="1" t="s">
        <v>162</v>
      </c>
      <c r="CQ40" s="1" t="s">
        <v>99</v>
      </c>
      <c r="CS40" s="1" t="s">
        <v>100</v>
      </c>
      <c r="CT40" s="1">
        <v>59.768790410000001</v>
      </c>
      <c r="CU40" s="1" t="s">
        <v>163</v>
      </c>
    </row>
    <row r="41" spans="2:99" x14ac:dyDescent="0.35">
      <c r="B41" s="1">
        <v>4</v>
      </c>
      <c r="C41" s="1">
        <v>4</v>
      </c>
      <c r="D41" s="1">
        <v>0</v>
      </c>
      <c r="G41" s="1" t="s">
        <v>129</v>
      </c>
      <c r="H41" s="1" t="s">
        <v>134</v>
      </c>
      <c r="I41" s="1" t="s">
        <v>134</v>
      </c>
      <c r="J41" s="1">
        <v>1</v>
      </c>
      <c r="K41" s="1">
        <v>1.2403449</v>
      </c>
      <c r="L41" s="1" t="s">
        <v>103</v>
      </c>
      <c r="Y41" s="1">
        <v>0</v>
      </c>
      <c r="Z41" s="1">
        <v>4</v>
      </c>
      <c r="AA41" s="1">
        <v>4</v>
      </c>
      <c r="AB41" s="1">
        <v>5</v>
      </c>
      <c r="AC41" s="1">
        <v>63.019271099999997</v>
      </c>
      <c r="AT41" s="1">
        <v>64.270615599999999</v>
      </c>
      <c r="AU41" s="1">
        <v>64.286525800000007</v>
      </c>
      <c r="AV41" s="1">
        <v>64.786556300000001</v>
      </c>
      <c r="AW41" s="1">
        <v>64.770199000000005</v>
      </c>
      <c r="BY41" s="1">
        <v>63.006438600000003</v>
      </c>
      <c r="BZ41" s="1">
        <v>63.019271099999997</v>
      </c>
      <c r="CA41" s="1">
        <v>63.019271099999997</v>
      </c>
      <c r="CB41" s="1">
        <v>64.270507300000006</v>
      </c>
      <c r="CC41" s="1" t="s">
        <v>134</v>
      </c>
      <c r="CD41" s="1">
        <v>1</v>
      </c>
      <c r="CE41" s="1">
        <v>1.2403449</v>
      </c>
      <c r="CF41" s="1" t="s">
        <v>103</v>
      </c>
      <c r="CN41" s="1">
        <v>10</v>
      </c>
      <c r="CO41" s="1">
        <v>1</v>
      </c>
      <c r="CP41" s="1" t="s">
        <v>162</v>
      </c>
      <c r="CQ41" s="1" t="s">
        <v>99</v>
      </c>
      <c r="CS41" s="1" t="s">
        <v>100</v>
      </c>
      <c r="CT41" s="1">
        <v>59.768790410000001</v>
      </c>
      <c r="CU41" s="1" t="s">
        <v>163</v>
      </c>
    </row>
    <row r="42" spans="2:99" x14ac:dyDescent="0.35">
      <c r="B42" s="1">
        <v>5</v>
      </c>
      <c r="C42" s="1">
        <v>5</v>
      </c>
      <c r="D42" s="1">
        <v>0</v>
      </c>
      <c r="G42" s="1" t="s">
        <v>141</v>
      </c>
      <c r="H42" s="1" t="s">
        <v>136</v>
      </c>
      <c r="I42" s="1" t="s">
        <v>136</v>
      </c>
      <c r="J42" s="1">
        <v>1</v>
      </c>
      <c r="K42" s="1">
        <v>2.4398284000000001</v>
      </c>
      <c r="L42" s="1" t="s">
        <v>103</v>
      </c>
      <c r="Y42" s="1">
        <v>0</v>
      </c>
      <c r="Z42" s="1">
        <v>5</v>
      </c>
      <c r="AA42" s="1">
        <v>5</v>
      </c>
      <c r="AB42" s="1">
        <v>1</v>
      </c>
      <c r="AC42" s="1">
        <v>64.786556300000001</v>
      </c>
      <c r="AT42" s="1">
        <v>67.236621299999996</v>
      </c>
      <c r="AU42" s="1">
        <v>67.252747200000002</v>
      </c>
      <c r="AW42" s="1">
        <v>67.737067600000003</v>
      </c>
      <c r="BY42" s="1">
        <v>64.7733724</v>
      </c>
      <c r="BZ42" s="1">
        <v>64.786556300000001</v>
      </c>
      <c r="CA42" s="1">
        <v>64.786556300000001</v>
      </c>
      <c r="CB42" s="1">
        <v>67.236509299999994</v>
      </c>
      <c r="CC42" s="1" t="s">
        <v>136</v>
      </c>
      <c r="CD42" s="1">
        <v>1</v>
      </c>
      <c r="CE42" s="1">
        <v>2.4398284000000001</v>
      </c>
      <c r="CF42" s="1" t="s">
        <v>103</v>
      </c>
      <c r="CN42" s="1">
        <v>10</v>
      </c>
      <c r="CO42" s="1">
        <v>1</v>
      </c>
      <c r="CP42" s="1" t="s">
        <v>162</v>
      </c>
      <c r="CQ42" s="1" t="s">
        <v>99</v>
      </c>
      <c r="CS42" s="1" t="s">
        <v>100</v>
      </c>
      <c r="CT42" s="1">
        <v>59.768790410000001</v>
      </c>
      <c r="CU42" s="1" t="s">
        <v>163</v>
      </c>
    </row>
    <row r="43" spans="2:99" x14ac:dyDescent="0.35">
      <c r="B43" s="1">
        <v>6</v>
      </c>
      <c r="C43" s="1">
        <v>6</v>
      </c>
      <c r="D43" s="1">
        <v>0</v>
      </c>
      <c r="G43" s="1" t="s">
        <v>130</v>
      </c>
      <c r="H43" s="1" t="s">
        <v>134</v>
      </c>
      <c r="I43" s="1" t="s">
        <v>134</v>
      </c>
      <c r="J43" s="1">
        <v>1</v>
      </c>
      <c r="K43" s="1">
        <v>2.3417701000000002</v>
      </c>
      <c r="L43" s="1" t="s">
        <v>103</v>
      </c>
      <c r="Y43" s="1">
        <v>0</v>
      </c>
      <c r="Z43" s="1">
        <v>6</v>
      </c>
      <c r="AA43" s="1">
        <v>6</v>
      </c>
      <c r="AB43" s="1">
        <v>6</v>
      </c>
      <c r="AC43" s="1">
        <v>67.753430800000004</v>
      </c>
      <c r="AT43" s="1">
        <v>70.103433600000002</v>
      </c>
      <c r="AU43" s="1">
        <v>70.119543800000002</v>
      </c>
      <c r="AW43" s="1">
        <v>70.603845399999997</v>
      </c>
      <c r="BY43" s="1">
        <v>67.741344600000005</v>
      </c>
      <c r="BZ43" s="1">
        <v>67.753430800000004</v>
      </c>
      <c r="CA43" s="1">
        <v>67.753430800000004</v>
      </c>
      <c r="CB43" s="1">
        <v>70.103347299999996</v>
      </c>
      <c r="CC43" s="1" t="s">
        <v>134</v>
      </c>
      <c r="CD43" s="1">
        <v>1</v>
      </c>
      <c r="CE43" s="1">
        <v>2.3417701000000002</v>
      </c>
      <c r="CF43" s="1" t="s">
        <v>103</v>
      </c>
      <c r="CN43" s="1">
        <v>10</v>
      </c>
      <c r="CO43" s="1">
        <v>1</v>
      </c>
      <c r="CP43" s="1" t="s">
        <v>162</v>
      </c>
      <c r="CQ43" s="1" t="s">
        <v>99</v>
      </c>
      <c r="CS43" s="1" t="s">
        <v>100</v>
      </c>
      <c r="CT43" s="1">
        <v>59.768790410000001</v>
      </c>
      <c r="CU43" s="1" t="s">
        <v>163</v>
      </c>
    </row>
    <row r="44" spans="2:99" x14ac:dyDescent="0.35">
      <c r="B44" s="1">
        <v>7</v>
      </c>
      <c r="C44" s="1">
        <v>7</v>
      </c>
      <c r="D44" s="1">
        <v>0</v>
      </c>
      <c r="G44" s="1" t="s">
        <v>135</v>
      </c>
      <c r="H44" s="1" t="s">
        <v>136</v>
      </c>
      <c r="I44" s="1" t="s">
        <v>136</v>
      </c>
      <c r="J44" s="1">
        <v>1</v>
      </c>
      <c r="K44" s="1">
        <v>0.87669859999999999</v>
      </c>
      <c r="L44" s="1" t="s">
        <v>103</v>
      </c>
      <c r="Y44" s="1">
        <v>0</v>
      </c>
      <c r="Z44" s="1">
        <v>7</v>
      </c>
      <c r="AA44" s="1">
        <v>7</v>
      </c>
      <c r="AB44" s="1">
        <v>8</v>
      </c>
      <c r="AC44" s="1">
        <v>70.619595200000006</v>
      </c>
      <c r="AT44" s="1">
        <v>71.503539799999999</v>
      </c>
      <c r="AU44" s="1">
        <v>71.519490099999999</v>
      </c>
      <c r="AW44" s="1">
        <v>72.003920100000002</v>
      </c>
      <c r="BY44" s="1">
        <v>70.609891000000005</v>
      </c>
      <c r="BZ44" s="1">
        <v>70.619595200000006</v>
      </c>
      <c r="CA44" s="1">
        <v>70.619595200000006</v>
      </c>
      <c r="CB44" s="1">
        <v>71.503452899999999</v>
      </c>
      <c r="CC44" s="1" t="s">
        <v>136</v>
      </c>
      <c r="CD44" s="1">
        <v>1</v>
      </c>
      <c r="CE44" s="1">
        <v>0.87669859999999999</v>
      </c>
      <c r="CF44" s="1" t="s">
        <v>103</v>
      </c>
      <c r="CN44" s="1">
        <v>10</v>
      </c>
      <c r="CO44" s="1">
        <v>1</v>
      </c>
      <c r="CP44" s="1" t="s">
        <v>162</v>
      </c>
      <c r="CQ44" s="1" t="s">
        <v>99</v>
      </c>
      <c r="CS44" s="1" t="s">
        <v>100</v>
      </c>
      <c r="CT44" s="1">
        <v>59.768790410000001</v>
      </c>
      <c r="CU44" s="1" t="s">
        <v>163</v>
      </c>
    </row>
    <row r="45" spans="2:99" x14ac:dyDescent="0.35">
      <c r="B45" s="1">
        <v>8</v>
      </c>
      <c r="C45" s="1">
        <v>8</v>
      </c>
      <c r="D45" s="1">
        <v>0</v>
      </c>
      <c r="G45" s="1" t="s">
        <v>106</v>
      </c>
      <c r="H45" s="1" t="s">
        <v>134</v>
      </c>
      <c r="I45" s="1" t="s">
        <v>134</v>
      </c>
      <c r="J45" s="1">
        <v>1</v>
      </c>
      <c r="K45" s="1">
        <v>1.4403789</v>
      </c>
      <c r="L45" s="1" t="s">
        <v>103</v>
      </c>
      <c r="Y45" s="1">
        <v>0</v>
      </c>
      <c r="Z45" s="1">
        <v>8</v>
      </c>
      <c r="AA45" s="1">
        <v>8</v>
      </c>
      <c r="AB45" s="1">
        <v>3</v>
      </c>
      <c r="AC45" s="1">
        <v>72.019949400000002</v>
      </c>
      <c r="AT45" s="1">
        <v>73.470331099999996</v>
      </c>
      <c r="AU45" s="1">
        <v>73.486069299999997</v>
      </c>
      <c r="AV45" s="1">
        <v>73.986035400000006</v>
      </c>
      <c r="AW45" s="1">
        <v>73.969805399999998</v>
      </c>
      <c r="BY45" s="1">
        <v>72.009921500000004</v>
      </c>
      <c r="BZ45" s="1">
        <v>72.019949400000002</v>
      </c>
      <c r="CA45" s="1">
        <v>72.019949400000002</v>
      </c>
      <c r="CB45" s="1">
        <v>73.470217399999996</v>
      </c>
      <c r="CC45" s="1" t="s">
        <v>134</v>
      </c>
      <c r="CD45" s="1">
        <v>1</v>
      </c>
      <c r="CE45" s="1">
        <v>1.4403789</v>
      </c>
      <c r="CF45" s="1" t="s">
        <v>103</v>
      </c>
      <c r="CN45" s="1">
        <v>10</v>
      </c>
      <c r="CO45" s="1">
        <v>1</v>
      </c>
      <c r="CP45" s="1" t="s">
        <v>162</v>
      </c>
      <c r="CQ45" s="1" t="s">
        <v>99</v>
      </c>
      <c r="CS45" s="1" t="s">
        <v>100</v>
      </c>
      <c r="CT45" s="1">
        <v>59.768790410000001</v>
      </c>
      <c r="CU45" s="1" t="s">
        <v>163</v>
      </c>
    </row>
    <row r="46" spans="2:99" x14ac:dyDescent="0.35">
      <c r="B46" s="1">
        <v>9</v>
      </c>
      <c r="C46" s="1">
        <v>9</v>
      </c>
      <c r="D46" s="1">
        <v>0</v>
      </c>
      <c r="G46" s="1" t="s">
        <v>116</v>
      </c>
      <c r="H46" s="1" t="s">
        <v>134</v>
      </c>
      <c r="I46" s="1" t="s">
        <v>134</v>
      </c>
      <c r="J46" s="1">
        <v>1</v>
      </c>
      <c r="K46" s="1">
        <v>1.5718342000000001</v>
      </c>
      <c r="L46" s="1" t="s">
        <v>103</v>
      </c>
      <c r="Y46" s="1">
        <v>0</v>
      </c>
      <c r="Z46" s="1">
        <v>9</v>
      </c>
      <c r="AA46" s="1">
        <v>9</v>
      </c>
      <c r="AB46" s="1">
        <v>4</v>
      </c>
      <c r="AC46" s="1">
        <v>73.986035400000006</v>
      </c>
      <c r="AT46" s="1">
        <v>75.570988700000001</v>
      </c>
      <c r="AU46" s="1">
        <v>75.585964099999998</v>
      </c>
      <c r="AV46" s="1">
        <v>76.086150200000006</v>
      </c>
      <c r="AW46" s="1">
        <v>76.069759199999993</v>
      </c>
      <c r="BY46" s="1">
        <v>73.972815400000002</v>
      </c>
      <c r="BZ46" s="1">
        <v>73.986035400000006</v>
      </c>
      <c r="CA46" s="1">
        <v>73.986035400000006</v>
      </c>
      <c r="CB46" s="1">
        <v>75.570851599999997</v>
      </c>
      <c r="CC46" s="1" t="s">
        <v>134</v>
      </c>
      <c r="CD46" s="1">
        <v>1</v>
      </c>
      <c r="CE46" s="1">
        <v>1.5718342000000001</v>
      </c>
      <c r="CF46" s="1" t="s">
        <v>103</v>
      </c>
      <c r="CN46" s="1">
        <v>10</v>
      </c>
      <c r="CO46" s="1">
        <v>1</v>
      </c>
      <c r="CP46" s="1" t="s">
        <v>162</v>
      </c>
      <c r="CQ46" s="1" t="s">
        <v>99</v>
      </c>
      <c r="CS46" s="1" t="s">
        <v>100</v>
      </c>
      <c r="CT46" s="1">
        <v>59.768790410000001</v>
      </c>
      <c r="CU46" s="1" t="s">
        <v>163</v>
      </c>
    </row>
    <row r="47" spans="2:99" x14ac:dyDescent="0.35">
      <c r="CG47" s="1">
        <v>76.069899199999995</v>
      </c>
      <c r="CH47" s="1">
        <v>76.086150200000006</v>
      </c>
      <c r="CI47" s="1">
        <v>76.086150200000006</v>
      </c>
      <c r="CJ47" s="1">
        <v>77.636423399999998</v>
      </c>
      <c r="CK47" s="1" t="s">
        <v>102</v>
      </c>
      <c r="CL47" s="1">
        <v>1.5469051</v>
      </c>
      <c r="CM47" s="1" t="s">
        <v>103</v>
      </c>
      <c r="CN47" s="1">
        <v>10</v>
      </c>
      <c r="CO47" s="1">
        <v>1</v>
      </c>
      <c r="CP47" s="1" t="s">
        <v>162</v>
      </c>
      <c r="CQ47" s="1" t="s">
        <v>99</v>
      </c>
      <c r="CS47" s="1" t="s">
        <v>100</v>
      </c>
      <c r="CT47" s="1">
        <v>59.768790410000001</v>
      </c>
      <c r="CU47" s="1" t="s">
        <v>163</v>
      </c>
    </row>
    <row r="49" spans="10:11" x14ac:dyDescent="0.35">
      <c r="J49" s="2">
        <f>AVERAGE(J37:J46)</f>
        <v>0.9</v>
      </c>
      <c r="K49" s="2">
        <f>AVERAGE(K37:K46)</f>
        <v>1.7271959600000002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DEF119-DB43-4E82-AAE9-41C6A2933482}">
  <dimension ref="A1:CT49"/>
  <sheetViews>
    <sheetView topLeftCell="C34" workbookViewId="0">
      <selection activeCell="J44" sqref="J44"/>
    </sheetView>
  </sheetViews>
  <sheetFormatPr defaultRowHeight="14.5" x14ac:dyDescent="0.35"/>
  <cols>
    <col min="1" max="16384" width="8.7265625" style="1"/>
  </cols>
  <sheetData>
    <row r="1" spans="1:9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</row>
    <row r="2" spans="1:98" x14ac:dyDescent="0.35">
      <c r="AE2" s="1">
        <v>1.8067000000000001E-3</v>
      </c>
      <c r="AF2" s="1">
        <v>4.0293999999999998E-3</v>
      </c>
      <c r="AG2" s="1">
        <v>3.0101334</v>
      </c>
      <c r="AH2" s="1">
        <v>2.9943567999999998</v>
      </c>
      <c r="CM2" s="1">
        <v>11</v>
      </c>
      <c r="CN2" s="1">
        <v>1</v>
      </c>
      <c r="CO2" s="1" t="s">
        <v>164</v>
      </c>
      <c r="CP2" s="1" t="s">
        <v>99</v>
      </c>
      <c r="CR2" s="1" t="s">
        <v>100</v>
      </c>
      <c r="CS2" s="1">
        <v>60.149326729999999</v>
      </c>
      <c r="CT2" s="1" t="s">
        <v>165</v>
      </c>
    </row>
    <row r="3" spans="1:98" x14ac:dyDescent="0.35">
      <c r="AI3" s="1">
        <v>2.9944825000000002</v>
      </c>
      <c r="AJ3" s="1">
        <v>3.0101334</v>
      </c>
      <c r="AK3" s="1">
        <v>3.0101334</v>
      </c>
      <c r="AL3" s="1">
        <v>3.7669988999999999</v>
      </c>
      <c r="AM3" s="1" t="s">
        <v>102</v>
      </c>
      <c r="AN3" s="1">
        <v>0.74139029999999995</v>
      </c>
      <c r="AO3" s="1" t="s">
        <v>103</v>
      </c>
      <c r="CM3" s="1">
        <v>11</v>
      </c>
      <c r="CN3" s="1">
        <v>1</v>
      </c>
      <c r="CO3" s="1" t="s">
        <v>164</v>
      </c>
      <c r="CP3" s="1" t="s">
        <v>99</v>
      </c>
      <c r="CR3" s="1" t="s">
        <v>100</v>
      </c>
      <c r="CS3" s="1">
        <v>60.149326729999999</v>
      </c>
      <c r="CT3" s="1" t="s">
        <v>165</v>
      </c>
    </row>
    <row r="4" spans="1:98" x14ac:dyDescent="0.35">
      <c r="A4" s="1" t="s">
        <v>107</v>
      </c>
      <c r="B4" s="1">
        <v>0</v>
      </c>
      <c r="C4" s="1">
        <v>0</v>
      </c>
      <c r="D4" s="1">
        <v>0</v>
      </c>
      <c r="M4" s="1">
        <v>0</v>
      </c>
      <c r="N4" s="1">
        <v>0</v>
      </c>
      <c r="O4" s="1">
        <v>0</v>
      </c>
      <c r="P4" s="1">
        <v>9</v>
      </c>
      <c r="AC4" s="1">
        <v>3.7795162000000002</v>
      </c>
      <c r="AP4" s="1">
        <v>3.7764921999999999</v>
      </c>
      <c r="AQ4" s="1">
        <v>3.7795162000000002</v>
      </c>
      <c r="AR4" s="1">
        <v>4.7772513999999999</v>
      </c>
      <c r="AS4" s="1">
        <v>4.7773038000000003</v>
      </c>
      <c r="AT4" s="1">
        <v>4.7928312999999996</v>
      </c>
      <c r="AU4" s="1">
        <v>5.2769363</v>
      </c>
      <c r="CM4" s="1">
        <v>11</v>
      </c>
      <c r="CN4" s="1">
        <v>1</v>
      </c>
      <c r="CO4" s="1" t="s">
        <v>164</v>
      </c>
      <c r="CP4" s="1" t="s">
        <v>99</v>
      </c>
      <c r="CR4" s="1" t="s">
        <v>100</v>
      </c>
      <c r="CS4" s="1">
        <v>60.149326729999999</v>
      </c>
      <c r="CT4" s="1" t="s">
        <v>165</v>
      </c>
    </row>
    <row r="5" spans="1:98" x14ac:dyDescent="0.35">
      <c r="A5" s="1" t="s">
        <v>108</v>
      </c>
      <c r="B5" s="1">
        <v>1</v>
      </c>
      <c r="C5" s="1">
        <v>1</v>
      </c>
      <c r="D5" s="1">
        <v>0</v>
      </c>
      <c r="M5" s="1">
        <v>0</v>
      </c>
      <c r="N5" s="1">
        <v>1</v>
      </c>
      <c r="O5" s="1">
        <v>1</v>
      </c>
      <c r="P5" s="1">
        <v>4</v>
      </c>
      <c r="AC5" s="1">
        <v>5.2929054999999998</v>
      </c>
      <c r="AP5" s="1">
        <v>5.2820881000000002</v>
      </c>
      <c r="AQ5" s="1">
        <v>5.2929054999999998</v>
      </c>
      <c r="AR5" s="1">
        <v>6.2770387999999997</v>
      </c>
      <c r="AS5" s="1">
        <v>6.2771042000000001</v>
      </c>
      <c r="AT5" s="1">
        <v>6.2932562000000001</v>
      </c>
      <c r="AU5" s="1">
        <v>6.7772712000000004</v>
      </c>
      <c r="CM5" s="1">
        <v>11</v>
      </c>
      <c r="CN5" s="1">
        <v>1</v>
      </c>
      <c r="CO5" s="1" t="s">
        <v>164</v>
      </c>
      <c r="CP5" s="1" t="s">
        <v>99</v>
      </c>
      <c r="CR5" s="1" t="s">
        <v>100</v>
      </c>
      <c r="CS5" s="1">
        <v>60.149326729999999</v>
      </c>
      <c r="CT5" s="1" t="s">
        <v>165</v>
      </c>
    </row>
    <row r="6" spans="1:98" x14ac:dyDescent="0.35">
      <c r="A6" s="1" t="s">
        <v>109</v>
      </c>
      <c r="B6" s="1">
        <v>2</v>
      </c>
      <c r="C6" s="1">
        <v>2</v>
      </c>
      <c r="D6" s="1">
        <v>0</v>
      </c>
      <c r="M6" s="1">
        <v>0</v>
      </c>
      <c r="N6" s="1">
        <v>2</v>
      </c>
      <c r="O6" s="1">
        <v>2</v>
      </c>
      <c r="P6" s="1">
        <v>8</v>
      </c>
      <c r="AC6" s="1">
        <v>6.7933851000000001</v>
      </c>
      <c r="AP6" s="1">
        <v>6.7823631999999998</v>
      </c>
      <c r="AQ6" s="1">
        <v>6.7933851000000001</v>
      </c>
      <c r="AR6" s="1">
        <v>7.7772492</v>
      </c>
      <c r="AS6" s="1">
        <v>7.7773146999999998</v>
      </c>
      <c r="AT6" s="1">
        <v>7.7935166000000002</v>
      </c>
      <c r="AU6" s="1">
        <v>8.2776455000000002</v>
      </c>
      <c r="CM6" s="1">
        <v>11</v>
      </c>
      <c r="CN6" s="1">
        <v>1</v>
      </c>
      <c r="CO6" s="1" t="s">
        <v>164</v>
      </c>
      <c r="CP6" s="1" t="s">
        <v>99</v>
      </c>
      <c r="CR6" s="1" t="s">
        <v>100</v>
      </c>
      <c r="CS6" s="1">
        <v>60.149326729999999</v>
      </c>
      <c r="CT6" s="1" t="s">
        <v>165</v>
      </c>
    </row>
    <row r="7" spans="1:98" x14ac:dyDescent="0.35">
      <c r="A7" s="1" t="s">
        <v>105</v>
      </c>
      <c r="B7" s="1">
        <v>3</v>
      </c>
      <c r="C7" s="1">
        <v>3</v>
      </c>
      <c r="D7" s="1">
        <v>0</v>
      </c>
      <c r="M7" s="1">
        <v>0</v>
      </c>
      <c r="N7" s="1">
        <v>3</v>
      </c>
      <c r="O7" s="1">
        <v>3</v>
      </c>
      <c r="P7" s="1">
        <v>1</v>
      </c>
      <c r="AC7" s="1">
        <v>8.2935089000000008</v>
      </c>
      <c r="AP7" s="1">
        <v>8.2860510999999999</v>
      </c>
      <c r="AQ7" s="1">
        <v>8.2935089000000008</v>
      </c>
      <c r="AR7" s="1">
        <v>9.2762046999999992</v>
      </c>
      <c r="AS7" s="1">
        <v>9.2762574000000004</v>
      </c>
      <c r="AT7" s="1">
        <v>9.2927695999999997</v>
      </c>
      <c r="AU7" s="1">
        <v>9.7772886000000003</v>
      </c>
      <c r="CM7" s="1">
        <v>11</v>
      </c>
      <c r="CN7" s="1">
        <v>1</v>
      </c>
      <c r="CO7" s="1" t="s">
        <v>164</v>
      </c>
      <c r="CP7" s="1" t="s">
        <v>99</v>
      </c>
      <c r="CR7" s="1" t="s">
        <v>100</v>
      </c>
      <c r="CS7" s="1">
        <v>60.149326729999999</v>
      </c>
      <c r="CT7" s="1" t="s">
        <v>165</v>
      </c>
    </row>
    <row r="8" spans="1:98" x14ac:dyDescent="0.35">
      <c r="A8" s="1" t="s">
        <v>106</v>
      </c>
      <c r="B8" s="1">
        <v>4</v>
      </c>
      <c r="C8" s="1">
        <v>4</v>
      </c>
      <c r="D8" s="1">
        <v>0</v>
      </c>
      <c r="M8" s="1">
        <v>0</v>
      </c>
      <c r="N8" s="1">
        <v>4</v>
      </c>
      <c r="O8" s="1">
        <v>4</v>
      </c>
      <c r="P8" s="1">
        <v>0</v>
      </c>
      <c r="AC8" s="1">
        <v>9.7935266999999993</v>
      </c>
      <c r="AP8" s="1">
        <v>9.7826138</v>
      </c>
      <c r="AQ8" s="1">
        <v>9.7935266999999993</v>
      </c>
      <c r="AR8" s="1">
        <v>10.777388800000001</v>
      </c>
      <c r="AS8" s="1">
        <v>10.777449600000001</v>
      </c>
      <c r="AT8" s="1">
        <v>10.7930043</v>
      </c>
      <c r="AU8" s="1">
        <v>11.276876100000001</v>
      </c>
      <c r="CM8" s="1">
        <v>11</v>
      </c>
      <c r="CN8" s="1">
        <v>1</v>
      </c>
      <c r="CO8" s="1" t="s">
        <v>164</v>
      </c>
      <c r="CP8" s="1" t="s">
        <v>99</v>
      </c>
      <c r="CR8" s="1" t="s">
        <v>100</v>
      </c>
      <c r="CS8" s="1">
        <v>60.149326729999999</v>
      </c>
      <c r="CT8" s="1" t="s">
        <v>165</v>
      </c>
    </row>
    <row r="9" spans="1:98" x14ac:dyDescent="0.35">
      <c r="A9" s="1" t="s">
        <v>110</v>
      </c>
      <c r="B9" s="1">
        <v>5</v>
      </c>
      <c r="C9" s="1">
        <v>5</v>
      </c>
      <c r="D9" s="1">
        <v>0</v>
      </c>
      <c r="M9" s="1">
        <v>0</v>
      </c>
      <c r="N9" s="1">
        <v>5</v>
      </c>
      <c r="O9" s="1">
        <v>5</v>
      </c>
      <c r="P9" s="1">
        <v>7</v>
      </c>
      <c r="AC9" s="1">
        <v>11.293471200000001</v>
      </c>
      <c r="AP9" s="1">
        <v>11.2817592</v>
      </c>
      <c r="AQ9" s="1">
        <v>11.293471200000001</v>
      </c>
      <c r="AR9" s="1">
        <v>12.276549599999999</v>
      </c>
      <c r="AS9" s="1">
        <v>12.2765962</v>
      </c>
      <c r="AT9" s="1">
        <v>12.293532900000001</v>
      </c>
      <c r="AU9" s="1">
        <v>12.776621199999999</v>
      </c>
      <c r="CM9" s="1">
        <v>11</v>
      </c>
      <c r="CN9" s="1">
        <v>1</v>
      </c>
      <c r="CO9" s="1" t="s">
        <v>164</v>
      </c>
      <c r="CP9" s="1" t="s">
        <v>99</v>
      </c>
      <c r="CR9" s="1" t="s">
        <v>100</v>
      </c>
      <c r="CS9" s="1">
        <v>60.149326729999999</v>
      </c>
      <c r="CT9" s="1" t="s">
        <v>165</v>
      </c>
    </row>
    <row r="10" spans="1:98" x14ac:dyDescent="0.35">
      <c r="A10" s="1" t="s">
        <v>104</v>
      </c>
      <c r="B10" s="1">
        <v>6</v>
      </c>
      <c r="C10" s="1">
        <v>6</v>
      </c>
      <c r="D10" s="1">
        <v>0</v>
      </c>
      <c r="M10" s="1">
        <v>0</v>
      </c>
      <c r="N10" s="1">
        <v>6</v>
      </c>
      <c r="O10" s="1">
        <v>6</v>
      </c>
      <c r="P10" s="1">
        <v>2</v>
      </c>
      <c r="AC10" s="1">
        <v>12.793104100000001</v>
      </c>
      <c r="AP10" s="1">
        <v>12.780027799999999</v>
      </c>
      <c r="AQ10" s="1">
        <v>12.793104100000001</v>
      </c>
      <c r="AR10" s="1">
        <v>13.7792133</v>
      </c>
      <c r="AS10" s="1">
        <v>13.779274600000001</v>
      </c>
      <c r="AT10" s="1">
        <v>13.793462</v>
      </c>
      <c r="AU10" s="1">
        <v>14.277071299999999</v>
      </c>
      <c r="CM10" s="1">
        <v>11</v>
      </c>
      <c r="CN10" s="1">
        <v>1</v>
      </c>
      <c r="CO10" s="1" t="s">
        <v>164</v>
      </c>
      <c r="CP10" s="1" t="s">
        <v>99</v>
      </c>
      <c r="CR10" s="1" t="s">
        <v>100</v>
      </c>
      <c r="CS10" s="1">
        <v>60.149326729999999</v>
      </c>
      <c r="CT10" s="1" t="s">
        <v>165</v>
      </c>
    </row>
    <row r="11" spans="1:98" x14ac:dyDescent="0.35">
      <c r="A11" s="1" t="s">
        <v>112</v>
      </c>
      <c r="B11" s="1">
        <v>7</v>
      </c>
      <c r="C11" s="1">
        <v>7</v>
      </c>
      <c r="D11" s="1">
        <v>0</v>
      </c>
      <c r="M11" s="1">
        <v>0</v>
      </c>
      <c r="N11" s="1">
        <v>7</v>
      </c>
      <c r="O11" s="1">
        <v>7</v>
      </c>
      <c r="P11" s="1">
        <v>6</v>
      </c>
      <c r="AC11" s="1">
        <v>14.2933535</v>
      </c>
      <c r="AP11" s="1">
        <v>14.2810217</v>
      </c>
      <c r="AQ11" s="1">
        <v>14.2933535</v>
      </c>
      <c r="AR11" s="1">
        <v>15.276503</v>
      </c>
      <c r="AS11" s="1">
        <v>15.276552799999999</v>
      </c>
      <c r="AT11" s="1">
        <v>15.2931279</v>
      </c>
      <c r="AU11" s="1">
        <v>15.777153999999999</v>
      </c>
      <c r="CM11" s="1">
        <v>11</v>
      </c>
      <c r="CN11" s="1">
        <v>1</v>
      </c>
      <c r="CO11" s="1" t="s">
        <v>164</v>
      </c>
      <c r="CP11" s="1" t="s">
        <v>99</v>
      </c>
      <c r="CR11" s="1" t="s">
        <v>100</v>
      </c>
      <c r="CS11" s="1">
        <v>60.149326729999999</v>
      </c>
      <c r="CT11" s="1" t="s">
        <v>165</v>
      </c>
    </row>
    <row r="12" spans="1:98" x14ac:dyDescent="0.35">
      <c r="A12" s="1" t="s">
        <v>111</v>
      </c>
      <c r="B12" s="1">
        <v>8</v>
      </c>
      <c r="C12" s="1">
        <v>8</v>
      </c>
      <c r="D12" s="1">
        <v>0</v>
      </c>
      <c r="M12" s="1">
        <v>0</v>
      </c>
      <c r="N12" s="1">
        <v>8</v>
      </c>
      <c r="O12" s="1">
        <v>8</v>
      </c>
      <c r="P12" s="1">
        <v>3</v>
      </c>
      <c r="AC12" s="1">
        <v>15.793475900000001</v>
      </c>
      <c r="AP12" s="1">
        <v>15.780554199999999</v>
      </c>
      <c r="AQ12" s="1">
        <v>15.793475900000001</v>
      </c>
      <c r="AR12" s="1">
        <v>16.7768753</v>
      </c>
      <c r="AS12" s="1">
        <v>16.7769382</v>
      </c>
      <c r="AT12" s="1">
        <v>16.793452800000001</v>
      </c>
      <c r="AU12" s="1">
        <v>17.276527699999999</v>
      </c>
      <c r="CM12" s="1">
        <v>11</v>
      </c>
      <c r="CN12" s="1">
        <v>1</v>
      </c>
      <c r="CO12" s="1" t="s">
        <v>164</v>
      </c>
      <c r="CP12" s="1" t="s">
        <v>99</v>
      </c>
      <c r="CR12" s="1" t="s">
        <v>100</v>
      </c>
      <c r="CS12" s="1">
        <v>60.149326729999999</v>
      </c>
      <c r="CT12" s="1" t="s">
        <v>165</v>
      </c>
    </row>
    <row r="13" spans="1:98" x14ac:dyDescent="0.35">
      <c r="A13" s="1" t="s">
        <v>113</v>
      </c>
      <c r="B13" s="1">
        <v>9</v>
      </c>
      <c r="C13" s="1">
        <v>9</v>
      </c>
      <c r="D13" s="1">
        <v>0</v>
      </c>
      <c r="M13" s="1">
        <v>0</v>
      </c>
      <c r="N13" s="1">
        <v>9</v>
      </c>
      <c r="O13" s="1">
        <v>9</v>
      </c>
      <c r="P13" s="1">
        <v>5</v>
      </c>
      <c r="AC13" s="1">
        <v>17.2928961</v>
      </c>
      <c r="AP13" s="1">
        <v>17.2801206</v>
      </c>
      <c r="AQ13" s="1">
        <v>17.2928961</v>
      </c>
      <c r="AR13" s="1">
        <v>18.276371399999999</v>
      </c>
      <c r="AS13" s="1">
        <v>18.276438500000001</v>
      </c>
      <c r="AT13" s="1">
        <v>18.292945199999998</v>
      </c>
      <c r="AU13" s="1">
        <v>18.776843499999998</v>
      </c>
      <c r="CM13" s="1">
        <v>11</v>
      </c>
      <c r="CN13" s="1">
        <v>1</v>
      </c>
      <c r="CO13" s="1" t="s">
        <v>164</v>
      </c>
      <c r="CP13" s="1" t="s">
        <v>99</v>
      </c>
      <c r="CR13" s="1" t="s">
        <v>100</v>
      </c>
      <c r="CS13" s="1">
        <v>60.149326729999999</v>
      </c>
      <c r="CT13" s="1" t="s">
        <v>165</v>
      </c>
    </row>
    <row r="14" spans="1:98" x14ac:dyDescent="0.35">
      <c r="B14" s="1">
        <v>0</v>
      </c>
      <c r="C14" s="1">
        <v>0</v>
      </c>
      <c r="D14" s="1">
        <v>0</v>
      </c>
      <c r="E14" s="1" t="s">
        <v>120</v>
      </c>
      <c r="Q14" s="1">
        <v>0</v>
      </c>
      <c r="R14" s="1">
        <v>0</v>
      </c>
      <c r="S14" s="1">
        <v>0</v>
      </c>
      <c r="T14" s="1">
        <v>4</v>
      </c>
      <c r="AC14" s="1">
        <v>18.794724899999999</v>
      </c>
      <c r="AS14" s="1">
        <v>19.7762213</v>
      </c>
      <c r="AT14" s="1">
        <v>19.792565700000001</v>
      </c>
      <c r="AU14" s="1">
        <v>20.277000600000001</v>
      </c>
      <c r="AV14" s="1">
        <v>18.790538300000001</v>
      </c>
      <c r="AW14" s="1">
        <v>18.794724899999999</v>
      </c>
      <c r="AX14" s="1">
        <v>19.7761593</v>
      </c>
      <c r="CM14" s="1">
        <v>11</v>
      </c>
      <c r="CN14" s="1">
        <v>1</v>
      </c>
      <c r="CO14" s="1" t="s">
        <v>164</v>
      </c>
      <c r="CP14" s="1" t="s">
        <v>99</v>
      </c>
      <c r="CR14" s="1" t="s">
        <v>100</v>
      </c>
      <c r="CS14" s="1">
        <v>60.149326729999999</v>
      </c>
      <c r="CT14" s="1" t="s">
        <v>165</v>
      </c>
    </row>
    <row r="15" spans="1:98" x14ac:dyDescent="0.35">
      <c r="B15" s="1">
        <v>1</v>
      </c>
      <c r="C15" s="1">
        <v>1</v>
      </c>
      <c r="D15" s="1">
        <v>0</v>
      </c>
      <c r="E15" s="1" t="s">
        <v>115</v>
      </c>
      <c r="Q15" s="1">
        <v>0</v>
      </c>
      <c r="R15" s="1">
        <v>1</v>
      </c>
      <c r="S15" s="1">
        <v>1</v>
      </c>
      <c r="T15" s="1">
        <v>7</v>
      </c>
      <c r="AC15" s="1">
        <v>20.293418500000001</v>
      </c>
      <c r="AS15" s="1">
        <v>21.276989</v>
      </c>
      <c r="AT15" s="1">
        <v>21.293011199999999</v>
      </c>
      <c r="AU15" s="1">
        <v>21.776047399999999</v>
      </c>
      <c r="AV15" s="1">
        <v>20.282141500000002</v>
      </c>
      <c r="AW15" s="1">
        <v>20.293418500000001</v>
      </c>
      <c r="AX15" s="1">
        <v>21.276899499999999</v>
      </c>
      <c r="CM15" s="1">
        <v>11</v>
      </c>
      <c r="CN15" s="1">
        <v>1</v>
      </c>
      <c r="CO15" s="1" t="s">
        <v>164</v>
      </c>
      <c r="CP15" s="1" t="s">
        <v>99</v>
      </c>
      <c r="CR15" s="1" t="s">
        <v>100</v>
      </c>
      <c r="CS15" s="1">
        <v>60.149326729999999</v>
      </c>
      <c r="CT15" s="1" t="s">
        <v>165</v>
      </c>
    </row>
    <row r="16" spans="1:98" x14ac:dyDescent="0.35">
      <c r="B16" s="1">
        <v>2</v>
      </c>
      <c r="C16" s="1">
        <v>2</v>
      </c>
      <c r="D16" s="1">
        <v>0</v>
      </c>
      <c r="E16" s="1" t="s">
        <v>117</v>
      </c>
      <c r="Q16" s="1">
        <v>0</v>
      </c>
      <c r="R16" s="1">
        <v>2</v>
      </c>
      <c r="S16" s="1">
        <v>2</v>
      </c>
      <c r="T16" s="1">
        <v>1</v>
      </c>
      <c r="AC16" s="1">
        <v>21.792560600000002</v>
      </c>
      <c r="AS16" s="1">
        <v>22.776366500000002</v>
      </c>
      <c r="AT16" s="1">
        <v>22.792931599999999</v>
      </c>
      <c r="AU16" s="1">
        <v>23.2768242</v>
      </c>
      <c r="AV16" s="1">
        <v>21.779426999999998</v>
      </c>
      <c r="AW16" s="1">
        <v>21.792560600000002</v>
      </c>
      <c r="AX16" s="1">
        <v>22.776312300000001</v>
      </c>
      <c r="CM16" s="1">
        <v>11</v>
      </c>
      <c r="CN16" s="1">
        <v>1</v>
      </c>
      <c r="CO16" s="1" t="s">
        <v>164</v>
      </c>
      <c r="CP16" s="1" t="s">
        <v>99</v>
      </c>
      <c r="CR16" s="1" t="s">
        <v>100</v>
      </c>
      <c r="CS16" s="1">
        <v>60.149326729999999</v>
      </c>
      <c r="CT16" s="1" t="s">
        <v>165</v>
      </c>
    </row>
    <row r="17" spans="2:98" x14ac:dyDescent="0.35">
      <c r="B17" s="1">
        <v>3</v>
      </c>
      <c r="C17" s="1">
        <v>3</v>
      </c>
      <c r="D17" s="1">
        <v>0</v>
      </c>
      <c r="E17" s="1" t="s">
        <v>118</v>
      </c>
      <c r="Q17" s="1">
        <v>0</v>
      </c>
      <c r="R17" s="1">
        <v>3</v>
      </c>
      <c r="S17" s="1">
        <v>3</v>
      </c>
      <c r="T17" s="1">
        <v>6</v>
      </c>
      <c r="AC17" s="1">
        <v>23.292949199999999</v>
      </c>
      <c r="AS17" s="1">
        <v>24.276872000000001</v>
      </c>
      <c r="AT17" s="1">
        <v>24.292974399999999</v>
      </c>
      <c r="AU17" s="1">
        <v>24.776656299999999</v>
      </c>
      <c r="AV17" s="1">
        <v>23.2797223</v>
      </c>
      <c r="AW17" s="1">
        <v>23.292949199999999</v>
      </c>
      <c r="AX17" s="1">
        <v>24.2767999</v>
      </c>
      <c r="CM17" s="1">
        <v>11</v>
      </c>
      <c r="CN17" s="1">
        <v>1</v>
      </c>
      <c r="CO17" s="1" t="s">
        <v>164</v>
      </c>
      <c r="CP17" s="1" t="s">
        <v>99</v>
      </c>
      <c r="CR17" s="1" t="s">
        <v>100</v>
      </c>
      <c r="CS17" s="1">
        <v>60.149326729999999</v>
      </c>
      <c r="CT17" s="1" t="s">
        <v>165</v>
      </c>
    </row>
    <row r="18" spans="2:98" x14ac:dyDescent="0.35">
      <c r="B18" s="1">
        <v>4</v>
      </c>
      <c r="C18" s="1">
        <v>4</v>
      </c>
      <c r="D18" s="1">
        <v>0</v>
      </c>
      <c r="E18" s="1" t="s">
        <v>122</v>
      </c>
      <c r="Q18" s="1">
        <v>0</v>
      </c>
      <c r="R18" s="1">
        <v>4</v>
      </c>
      <c r="S18" s="1">
        <v>4</v>
      </c>
      <c r="T18" s="1">
        <v>8</v>
      </c>
      <c r="AC18" s="1">
        <v>24.793040600000001</v>
      </c>
      <c r="AS18" s="1">
        <v>25.776511299999999</v>
      </c>
      <c r="AT18" s="1">
        <v>25.793404299999999</v>
      </c>
      <c r="AU18" s="1">
        <v>26.276765099999999</v>
      </c>
      <c r="AV18" s="1">
        <v>24.780840600000001</v>
      </c>
      <c r="AW18" s="1">
        <v>24.793040600000001</v>
      </c>
      <c r="AX18" s="1">
        <v>25.776453199999999</v>
      </c>
      <c r="CM18" s="1">
        <v>11</v>
      </c>
      <c r="CN18" s="1">
        <v>1</v>
      </c>
      <c r="CO18" s="1" t="s">
        <v>164</v>
      </c>
      <c r="CP18" s="1" t="s">
        <v>99</v>
      </c>
      <c r="CR18" s="1" t="s">
        <v>100</v>
      </c>
      <c r="CS18" s="1">
        <v>60.149326729999999</v>
      </c>
      <c r="CT18" s="1" t="s">
        <v>165</v>
      </c>
    </row>
    <row r="19" spans="2:98" x14ac:dyDescent="0.35">
      <c r="B19" s="1">
        <v>5</v>
      </c>
      <c r="C19" s="1">
        <v>5</v>
      </c>
      <c r="D19" s="1">
        <v>0</v>
      </c>
      <c r="E19" s="1" t="s">
        <v>119</v>
      </c>
      <c r="Q19" s="1">
        <v>0</v>
      </c>
      <c r="R19" s="1">
        <v>5</v>
      </c>
      <c r="S19" s="1">
        <v>5</v>
      </c>
      <c r="T19" s="1">
        <v>9</v>
      </c>
      <c r="AC19" s="1">
        <v>26.2935284</v>
      </c>
      <c r="AS19" s="1">
        <v>27.276820499999999</v>
      </c>
      <c r="AT19" s="1">
        <v>27.293439100000001</v>
      </c>
      <c r="AU19" s="1">
        <v>27.776782799999999</v>
      </c>
      <c r="AV19" s="1">
        <v>26.279952300000001</v>
      </c>
      <c r="AW19" s="1">
        <v>26.2935284</v>
      </c>
      <c r="AX19" s="1">
        <v>27.276726</v>
      </c>
      <c r="CM19" s="1">
        <v>11</v>
      </c>
      <c r="CN19" s="1">
        <v>1</v>
      </c>
      <c r="CO19" s="1" t="s">
        <v>164</v>
      </c>
      <c r="CP19" s="1" t="s">
        <v>99</v>
      </c>
      <c r="CR19" s="1" t="s">
        <v>100</v>
      </c>
      <c r="CS19" s="1">
        <v>60.149326729999999</v>
      </c>
      <c r="CT19" s="1" t="s">
        <v>165</v>
      </c>
    </row>
    <row r="20" spans="2:98" x14ac:dyDescent="0.35">
      <c r="B20" s="1">
        <v>6</v>
      </c>
      <c r="C20" s="1">
        <v>6</v>
      </c>
      <c r="D20" s="1">
        <v>0</v>
      </c>
      <c r="E20" s="1" t="s">
        <v>121</v>
      </c>
      <c r="Q20" s="1">
        <v>0</v>
      </c>
      <c r="R20" s="1">
        <v>6</v>
      </c>
      <c r="S20" s="1">
        <v>6</v>
      </c>
      <c r="T20" s="1">
        <v>3</v>
      </c>
      <c r="AC20" s="1">
        <v>27.793205499999999</v>
      </c>
      <c r="AS20" s="1">
        <v>28.7767537</v>
      </c>
      <c r="AT20" s="1">
        <v>28.793504500000001</v>
      </c>
      <c r="AU20" s="1">
        <v>29.276895499999998</v>
      </c>
      <c r="AV20" s="1">
        <v>27.779746899999999</v>
      </c>
      <c r="AW20" s="1">
        <v>27.793205499999999</v>
      </c>
      <c r="AX20" s="1">
        <v>28.776679300000001</v>
      </c>
      <c r="CM20" s="1">
        <v>11</v>
      </c>
      <c r="CN20" s="1">
        <v>1</v>
      </c>
      <c r="CO20" s="1" t="s">
        <v>164</v>
      </c>
      <c r="CP20" s="1" t="s">
        <v>99</v>
      </c>
      <c r="CR20" s="1" t="s">
        <v>100</v>
      </c>
      <c r="CS20" s="1">
        <v>60.149326729999999</v>
      </c>
      <c r="CT20" s="1" t="s">
        <v>165</v>
      </c>
    </row>
    <row r="21" spans="2:98" x14ac:dyDescent="0.35">
      <c r="B21" s="1">
        <v>7</v>
      </c>
      <c r="C21" s="1">
        <v>7</v>
      </c>
      <c r="D21" s="1">
        <v>0</v>
      </c>
      <c r="E21" s="1" t="s">
        <v>116</v>
      </c>
      <c r="Q21" s="1">
        <v>0</v>
      </c>
      <c r="R21" s="1">
        <v>7</v>
      </c>
      <c r="S21" s="1">
        <v>7</v>
      </c>
      <c r="T21" s="1">
        <v>0</v>
      </c>
      <c r="AC21" s="1">
        <v>29.292821499999999</v>
      </c>
      <c r="AS21" s="1">
        <v>30.2767105</v>
      </c>
      <c r="AT21" s="1">
        <v>30.292974999999998</v>
      </c>
      <c r="AU21" s="1">
        <v>30.7763621</v>
      </c>
      <c r="AV21" s="1">
        <v>29.2822307</v>
      </c>
      <c r="AW21" s="1">
        <v>29.292821499999999</v>
      </c>
      <c r="AX21" s="1">
        <v>30.276639299999999</v>
      </c>
      <c r="CM21" s="1">
        <v>11</v>
      </c>
      <c r="CN21" s="1">
        <v>1</v>
      </c>
      <c r="CO21" s="1" t="s">
        <v>164</v>
      </c>
      <c r="CP21" s="1" t="s">
        <v>99</v>
      </c>
      <c r="CR21" s="1" t="s">
        <v>100</v>
      </c>
      <c r="CS21" s="1">
        <v>60.149326729999999</v>
      </c>
      <c r="CT21" s="1" t="s">
        <v>165</v>
      </c>
    </row>
    <row r="22" spans="2:98" x14ac:dyDescent="0.35">
      <c r="B22" s="1">
        <v>8</v>
      </c>
      <c r="C22" s="1">
        <v>8</v>
      </c>
      <c r="D22" s="1">
        <v>0</v>
      </c>
      <c r="E22" s="1" t="s">
        <v>123</v>
      </c>
      <c r="Q22" s="1">
        <v>0</v>
      </c>
      <c r="R22" s="1">
        <v>8</v>
      </c>
      <c r="S22" s="1">
        <v>8</v>
      </c>
      <c r="T22" s="1">
        <v>2</v>
      </c>
      <c r="AC22" s="1">
        <v>30.792634100000001</v>
      </c>
      <c r="AS22" s="1">
        <v>31.776539</v>
      </c>
      <c r="AT22" s="1">
        <v>31.792880199999999</v>
      </c>
      <c r="AU22" s="1">
        <v>32.276329400000002</v>
      </c>
      <c r="AV22" s="1">
        <v>30.779733799999999</v>
      </c>
      <c r="AW22" s="1">
        <v>30.792634100000001</v>
      </c>
      <c r="AX22" s="1">
        <v>31.776479399999999</v>
      </c>
      <c r="CM22" s="1">
        <v>11</v>
      </c>
      <c r="CN22" s="1">
        <v>1</v>
      </c>
      <c r="CO22" s="1" t="s">
        <v>164</v>
      </c>
      <c r="CP22" s="1" t="s">
        <v>99</v>
      </c>
      <c r="CR22" s="1" t="s">
        <v>100</v>
      </c>
      <c r="CS22" s="1">
        <v>60.149326729999999</v>
      </c>
      <c r="CT22" s="1" t="s">
        <v>165</v>
      </c>
    </row>
    <row r="23" spans="2:98" x14ac:dyDescent="0.35">
      <c r="B23" s="1">
        <v>9</v>
      </c>
      <c r="C23" s="1">
        <v>9</v>
      </c>
      <c r="D23" s="1">
        <v>0</v>
      </c>
      <c r="E23" s="1" t="s">
        <v>114</v>
      </c>
      <c r="Q23" s="1">
        <v>0</v>
      </c>
      <c r="R23" s="1">
        <v>9</v>
      </c>
      <c r="S23" s="1">
        <v>9</v>
      </c>
      <c r="T23" s="1">
        <v>5</v>
      </c>
      <c r="AC23" s="1">
        <v>32.292945799999998</v>
      </c>
      <c r="AS23" s="1">
        <v>33.2763931</v>
      </c>
      <c r="AT23" s="1">
        <v>33.292709799999997</v>
      </c>
      <c r="AU23" s="1">
        <v>33.776767599999999</v>
      </c>
      <c r="AV23" s="1">
        <v>32.281412699999997</v>
      </c>
      <c r="AW23" s="1">
        <v>32.292945799999998</v>
      </c>
      <c r="AX23" s="1">
        <v>33.276306099999999</v>
      </c>
      <c r="CM23" s="1">
        <v>11</v>
      </c>
      <c r="CN23" s="1">
        <v>1</v>
      </c>
      <c r="CO23" s="1" t="s">
        <v>164</v>
      </c>
      <c r="CP23" s="1" t="s">
        <v>99</v>
      </c>
      <c r="CR23" s="1" t="s">
        <v>100</v>
      </c>
      <c r="CS23" s="1">
        <v>60.149326729999999</v>
      </c>
      <c r="CT23" s="1" t="s">
        <v>165</v>
      </c>
    </row>
    <row r="24" spans="2:98" x14ac:dyDescent="0.35">
      <c r="B24" s="1">
        <v>0</v>
      </c>
      <c r="C24" s="1">
        <v>0</v>
      </c>
      <c r="D24" s="1">
        <v>0</v>
      </c>
      <c r="F24" s="1" t="s">
        <v>127</v>
      </c>
      <c r="U24" s="1">
        <v>0</v>
      </c>
      <c r="V24" s="1">
        <v>0</v>
      </c>
      <c r="W24" s="1">
        <v>0</v>
      </c>
      <c r="X24" s="1">
        <v>5</v>
      </c>
      <c r="AC24" s="1">
        <v>33.794462299999999</v>
      </c>
      <c r="AS24" s="1">
        <v>34.776116799999997</v>
      </c>
      <c r="AT24" s="1">
        <v>34.792976199999998</v>
      </c>
      <c r="AU24" s="1">
        <v>35.276425600000003</v>
      </c>
      <c r="AY24" s="1">
        <v>33.791462099999997</v>
      </c>
      <c r="AZ24" s="1">
        <v>33.794462299999999</v>
      </c>
      <c r="BA24" s="1">
        <v>34.776062699999997</v>
      </c>
      <c r="CM24" s="1">
        <v>11</v>
      </c>
      <c r="CN24" s="1">
        <v>1</v>
      </c>
      <c r="CO24" s="1" t="s">
        <v>164</v>
      </c>
      <c r="CP24" s="1" t="s">
        <v>99</v>
      </c>
      <c r="CR24" s="1" t="s">
        <v>100</v>
      </c>
      <c r="CS24" s="1">
        <v>60.149326729999999</v>
      </c>
      <c r="CT24" s="1" t="s">
        <v>165</v>
      </c>
    </row>
    <row r="25" spans="2:98" x14ac:dyDescent="0.35">
      <c r="B25" s="1">
        <v>1</v>
      </c>
      <c r="C25" s="1">
        <v>1</v>
      </c>
      <c r="D25" s="1">
        <v>0</v>
      </c>
      <c r="F25" s="1" t="s">
        <v>129</v>
      </c>
      <c r="U25" s="1">
        <v>0</v>
      </c>
      <c r="V25" s="1">
        <v>1</v>
      </c>
      <c r="W25" s="1">
        <v>1</v>
      </c>
      <c r="X25" s="1">
        <v>0</v>
      </c>
      <c r="AC25" s="1">
        <v>35.365990699999998</v>
      </c>
      <c r="AS25" s="1">
        <v>36.276328599999999</v>
      </c>
      <c r="AT25" s="1">
        <v>36.2927976</v>
      </c>
      <c r="AU25" s="1">
        <v>36.776457600000001</v>
      </c>
      <c r="AY25" s="1">
        <v>35.362836899999998</v>
      </c>
      <c r="AZ25" s="1">
        <v>35.365990699999998</v>
      </c>
      <c r="BA25" s="1">
        <v>36.276275499999997</v>
      </c>
      <c r="CM25" s="1">
        <v>11</v>
      </c>
      <c r="CN25" s="1">
        <v>1</v>
      </c>
      <c r="CO25" s="1" t="s">
        <v>164</v>
      </c>
      <c r="CP25" s="1" t="s">
        <v>99</v>
      </c>
      <c r="CR25" s="1" t="s">
        <v>100</v>
      </c>
      <c r="CS25" s="1">
        <v>60.149326729999999</v>
      </c>
      <c r="CT25" s="1" t="s">
        <v>165</v>
      </c>
    </row>
    <row r="26" spans="2:98" x14ac:dyDescent="0.35">
      <c r="B26" s="1">
        <v>2</v>
      </c>
      <c r="C26" s="1">
        <v>2</v>
      </c>
      <c r="D26" s="1">
        <v>0</v>
      </c>
      <c r="F26" s="1" t="s">
        <v>128</v>
      </c>
      <c r="U26" s="1">
        <v>0</v>
      </c>
      <c r="V26" s="1">
        <v>2</v>
      </c>
      <c r="W26" s="1">
        <v>2</v>
      </c>
      <c r="X26" s="1">
        <v>6</v>
      </c>
      <c r="AC26" s="1">
        <v>36.793025299999996</v>
      </c>
      <c r="AS26" s="1">
        <v>37.777006</v>
      </c>
      <c r="AT26" s="1">
        <v>37.792976199999998</v>
      </c>
      <c r="AU26" s="1">
        <v>38.276856799999997</v>
      </c>
      <c r="AY26" s="1">
        <v>36.780229599999998</v>
      </c>
      <c r="AZ26" s="1">
        <v>36.793025299999996</v>
      </c>
      <c r="BA26" s="1">
        <v>37.7769312</v>
      </c>
      <c r="CM26" s="1">
        <v>11</v>
      </c>
      <c r="CN26" s="1">
        <v>1</v>
      </c>
      <c r="CO26" s="1" t="s">
        <v>164</v>
      </c>
      <c r="CP26" s="1" t="s">
        <v>99</v>
      </c>
      <c r="CR26" s="1" t="s">
        <v>100</v>
      </c>
      <c r="CS26" s="1">
        <v>60.149326729999999</v>
      </c>
      <c r="CT26" s="1" t="s">
        <v>165</v>
      </c>
    </row>
    <row r="27" spans="2:98" x14ac:dyDescent="0.35">
      <c r="B27" s="1">
        <v>3</v>
      </c>
      <c r="C27" s="1">
        <v>3</v>
      </c>
      <c r="D27" s="1">
        <v>0</v>
      </c>
      <c r="F27" s="1" t="s">
        <v>124</v>
      </c>
      <c r="U27" s="1">
        <v>0</v>
      </c>
      <c r="V27" s="1">
        <v>3</v>
      </c>
      <c r="W27" s="1">
        <v>3</v>
      </c>
      <c r="X27" s="1">
        <v>7</v>
      </c>
      <c r="AC27" s="1">
        <v>38.292969800000002</v>
      </c>
      <c r="AS27" s="1">
        <v>39.276804800000001</v>
      </c>
      <c r="AT27" s="1">
        <v>39.292783100000001</v>
      </c>
      <c r="AU27" s="1">
        <v>39.776243100000002</v>
      </c>
      <c r="AY27" s="1">
        <v>38.282715400000001</v>
      </c>
      <c r="AZ27" s="1">
        <v>38.292969800000002</v>
      </c>
      <c r="BA27" s="1">
        <v>39.276715500000002</v>
      </c>
      <c r="CM27" s="1">
        <v>11</v>
      </c>
      <c r="CN27" s="1">
        <v>1</v>
      </c>
      <c r="CO27" s="1" t="s">
        <v>164</v>
      </c>
      <c r="CP27" s="1" t="s">
        <v>99</v>
      </c>
      <c r="CR27" s="1" t="s">
        <v>100</v>
      </c>
      <c r="CS27" s="1">
        <v>60.149326729999999</v>
      </c>
      <c r="CT27" s="1" t="s">
        <v>165</v>
      </c>
    </row>
    <row r="28" spans="2:98" x14ac:dyDescent="0.35">
      <c r="B28" s="1">
        <v>4</v>
      </c>
      <c r="C28" s="1">
        <v>4</v>
      </c>
      <c r="D28" s="1">
        <v>0</v>
      </c>
      <c r="F28" s="1" t="s">
        <v>125</v>
      </c>
      <c r="U28" s="1">
        <v>0</v>
      </c>
      <c r="V28" s="1">
        <v>4</v>
      </c>
      <c r="W28" s="1">
        <v>4</v>
      </c>
      <c r="X28" s="1">
        <v>8</v>
      </c>
      <c r="AC28" s="1">
        <v>39.792639700000002</v>
      </c>
      <c r="AS28" s="1">
        <v>40.776710700000002</v>
      </c>
      <c r="AT28" s="1">
        <v>40.793375300000001</v>
      </c>
      <c r="AU28" s="1">
        <v>41.276279500000001</v>
      </c>
      <c r="AY28" s="1">
        <v>39.780073000000002</v>
      </c>
      <c r="AZ28" s="1">
        <v>39.792639700000002</v>
      </c>
      <c r="BA28" s="1">
        <v>40.776657899999996</v>
      </c>
      <c r="CM28" s="1">
        <v>11</v>
      </c>
      <c r="CN28" s="1">
        <v>1</v>
      </c>
      <c r="CO28" s="1" t="s">
        <v>164</v>
      </c>
      <c r="CP28" s="1" t="s">
        <v>99</v>
      </c>
      <c r="CR28" s="1" t="s">
        <v>100</v>
      </c>
      <c r="CS28" s="1">
        <v>60.149326729999999</v>
      </c>
      <c r="CT28" s="1" t="s">
        <v>165</v>
      </c>
    </row>
    <row r="29" spans="2:98" x14ac:dyDescent="0.35">
      <c r="B29" s="1">
        <v>5</v>
      </c>
      <c r="C29" s="1">
        <v>5</v>
      </c>
      <c r="D29" s="1">
        <v>0</v>
      </c>
      <c r="F29" s="1" t="s">
        <v>131</v>
      </c>
      <c r="U29" s="1">
        <v>0</v>
      </c>
      <c r="V29" s="1">
        <v>5</v>
      </c>
      <c r="W29" s="1">
        <v>5</v>
      </c>
      <c r="X29" s="1">
        <v>2</v>
      </c>
      <c r="AC29" s="1">
        <v>41.292653899999998</v>
      </c>
      <c r="AS29" s="1">
        <v>42.276822600000003</v>
      </c>
      <c r="AT29" s="1">
        <v>42.292935900000003</v>
      </c>
      <c r="AU29" s="1">
        <v>42.776245500000002</v>
      </c>
      <c r="AY29" s="1">
        <v>41.281115399999997</v>
      </c>
      <c r="AZ29" s="1">
        <v>41.292653899999998</v>
      </c>
      <c r="BA29" s="1">
        <v>42.276716499999999</v>
      </c>
      <c r="CM29" s="1">
        <v>11</v>
      </c>
      <c r="CN29" s="1">
        <v>1</v>
      </c>
      <c r="CO29" s="1" t="s">
        <v>164</v>
      </c>
      <c r="CP29" s="1" t="s">
        <v>99</v>
      </c>
      <c r="CR29" s="1" t="s">
        <v>100</v>
      </c>
      <c r="CS29" s="1">
        <v>60.149326729999999</v>
      </c>
      <c r="CT29" s="1" t="s">
        <v>165</v>
      </c>
    </row>
    <row r="30" spans="2:98" x14ac:dyDescent="0.35">
      <c r="B30" s="1">
        <v>6</v>
      </c>
      <c r="C30" s="1">
        <v>6</v>
      </c>
      <c r="D30" s="1">
        <v>0</v>
      </c>
      <c r="F30" s="1" t="s">
        <v>126</v>
      </c>
      <c r="U30" s="1">
        <v>0</v>
      </c>
      <c r="V30" s="1">
        <v>6</v>
      </c>
      <c r="W30" s="1">
        <v>6</v>
      </c>
      <c r="X30" s="1">
        <v>4</v>
      </c>
      <c r="AC30" s="1">
        <v>42.792580399999999</v>
      </c>
      <c r="AS30" s="1">
        <v>43.776178999999999</v>
      </c>
      <c r="AT30" s="1">
        <v>43.793125099999997</v>
      </c>
      <c r="AU30" s="1">
        <v>44.276627699999999</v>
      </c>
      <c r="AY30" s="1">
        <v>42.779797700000003</v>
      </c>
      <c r="AZ30" s="1">
        <v>42.792580399999999</v>
      </c>
      <c r="BA30" s="1">
        <v>43.776125800000003</v>
      </c>
      <c r="CM30" s="1">
        <v>11</v>
      </c>
      <c r="CN30" s="1">
        <v>1</v>
      </c>
      <c r="CO30" s="1" t="s">
        <v>164</v>
      </c>
      <c r="CP30" s="1" t="s">
        <v>99</v>
      </c>
      <c r="CR30" s="1" t="s">
        <v>100</v>
      </c>
      <c r="CS30" s="1">
        <v>60.149326729999999</v>
      </c>
      <c r="CT30" s="1" t="s">
        <v>165</v>
      </c>
    </row>
    <row r="31" spans="2:98" x14ac:dyDescent="0.35">
      <c r="B31" s="1">
        <v>7</v>
      </c>
      <c r="C31" s="1">
        <v>7</v>
      </c>
      <c r="D31" s="1">
        <v>0</v>
      </c>
      <c r="F31" s="1" t="s">
        <v>133</v>
      </c>
      <c r="U31" s="1">
        <v>0</v>
      </c>
      <c r="V31" s="1">
        <v>7</v>
      </c>
      <c r="W31" s="1">
        <v>7</v>
      </c>
      <c r="X31" s="1">
        <v>1</v>
      </c>
      <c r="AC31" s="1">
        <v>44.292684199999997</v>
      </c>
      <c r="AS31" s="1">
        <v>45.276138099999997</v>
      </c>
      <c r="AT31" s="1">
        <v>45.293016600000001</v>
      </c>
      <c r="AU31" s="1">
        <v>45.776619099999998</v>
      </c>
      <c r="AY31" s="1">
        <v>44.279374500000003</v>
      </c>
      <c r="AZ31" s="1">
        <v>44.292684199999997</v>
      </c>
      <c r="BA31" s="1">
        <v>45.276070500000003</v>
      </c>
      <c r="CM31" s="1">
        <v>11</v>
      </c>
      <c r="CN31" s="1">
        <v>1</v>
      </c>
      <c r="CO31" s="1" t="s">
        <v>164</v>
      </c>
      <c r="CP31" s="1" t="s">
        <v>99</v>
      </c>
      <c r="CR31" s="1" t="s">
        <v>100</v>
      </c>
      <c r="CS31" s="1">
        <v>60.149326729999999</v>
      </c>
      <c r="CT31" s="1" t="s">
        <v>165</v>
      </c>
    </row>
    <row r="32" spans="2:98" x14ac:dyDescent="0.35">
      <c r="B32" s="1">
        <v>8</v>
      </c>
      <c r="C32" s="1">
        <v>8</v>
      </c>
      <c r="D32" s="1">
        <v>0</v>
      </c>
      <c r="F32" s="1" t="s">
        <v>132</v>
      </c>
      <c r="U32" s="1">
        <v>0</v>
      </c>
      <c r="V32" s="1">
        <v>8</v>
      </c>
      <c r="W32" s="1">
        <v>8</v>
      </c>
      <c r="X32" s="1">
        <v>9</v>
      </c>
      <c r="AC32" s="1">
        <v>45.792730200000001</v>
      </c>
      <c r="AS32" s="1">
        <v>46.775821800000003</v>
      </c>
      <c r="AT32" s="1">
        <v>46.792526899999999</v>
      </c>
      <c r="AU32" s="1">
        <v>47.276150800000003</v>
      </c>
      <c r="AY32" s="1">
        <v>45.779910299999997</v>
      </c>
      <c r="AZ32" s="1">
        <v>45.792730200000001</v>
      </c>
      <c r="BA32" s="1">
        <v>46.775770899999998</v>
      </c>
      <c r="CM32" s="1">
        <v>11</v>
      </c>
      <c r="CN32" s="1">
        <v>1</v>
      </c>
      <c r="CO32" s="1" t="s">
        <v>164</v>
      </c>
      <c r="CP32" s="1" t="s">
        <v>99</v>
      </c>
      <c r="CR32" s="1" t="s">
        <v>100</v>
      </c>
      <c r="CS32" s="1">
        <v>60.149326729999999</v>
      </c>
      <c r="CT32" s="1" t="s">
        <v>165</v>
      </c>
    </row>
    <row r="33" spans="2:98" x14ac:dyDescent="0.35">
      <c r="B33" s="1">
        <v>9</v>
      </c>
      <c r="C33" s="1">
        <v>9</v>
      </c>
      <c r="D33" s="1">
        <v>0</v>
      </c>
      <c r="F33" s="1" t="s">
        <v>130</v>
      </c>
      <c r="U33" s="1">
        <v>0</v>
      </c>
      <c r="V33" s="1">
        <v>9</v>
      </c>
      <c r="W33" s="1">
        <v>9</v>
      </c>
      <c r="X33" s="1">
        <v>3</v>
      </c>
      <c r="AC33" s="1">
        <v>47.292537099999997</v>
      </c>
      <c r="AS33" s="1">
        <v>48.276630400000002</v>
      </c>
      <c r="AT33" s="1">
        <v>48.2926857</v>
      </c>
      <c r="AU33" s="1">
        <v>48.776071999999999</v>
      </c>
      <c r="AY33" s="1">
        <v>47.279802400000001</v>
      </c>
      <c r="AZ33" s="1">
        <v>47.292537099999997</v>
      </c>
      <c r="BA33" s="1">
        <v>48.276542300000003</v>
      </c>
      <c r="CM33" s="1">
        <v>11</v>
      </c>
      <c r="CN33" s="1">
        <v>1</v>
      </c>
      <c r="CO33" s="1" t="s">
        <v>164</v>
      </c>
      <c r="CP33" s="1" t="s">
        <v>99</v>
      </c>
      <c r="CR33" s="1" t="s">
        <v>100</v>
      </c>
      <c r="CS33" s="1">
        <v>60.149326729999999</v>
      </c>
      <c r="CT33" s="1" t="s">
        <v>165</v>
      </c>
    </row>
    <row r="34" spans="2:98" x14ac:dyDescent="0.35">
      <c r="BB34" s="1">
        <v>48.776224200000001</v>
      </c>
      <c r="BC34" s="1">
        <v>48.7929678</v>
      </c>
      <c r="BD34" s="1">
        <v>48.7929678</v>
      </c>
      <c r="BE34" s="1">
        <v>52.426870700000002</v>
      </c>
      <c r="BF34" s="1" t="s">
        <v>102</v>
      </c>
      <c r="BG34" s="1">
        <v>3.6240467000000001</v>
      </c>
      <c r="BH34" s="1" t="s">
        <v>103</v>
      </c>
      <c r="CM34" s="1">
        <v>11</v>
      </c>
      <c r="CN34" s="1">
        <v>1</v>
      </c>
      <c r="CO34" s="1" t="s">
        <v>164</v>
      </c>
      <c r="CP34" s="1" t="s">
        <v>99</v>
      </c>
      <c r="CR34" s="1" t="s">
        <v>100</v>
      </c>
      <c r="CS34" s="1">
        <v>60.149326729999999</v>
      </c>
      <c r="CT34" s="1" t="s">
        <v>165</v>
      </c>
    </row>
    <row r="35" spans="2:98" x14ac:dyDescent="0.35">
      <c r="BI35" s="1">
        <v>52.426979099999997</v>
      </c>
      <c r="BJ35" s="1">
        <v>52.442888500000002</v>
      </c>
      <c r="BK35" s="1">
        <v>52.442888500000002</v>
      </c>
      <c r="BL35" s="1">
        <v>53.510269999999998</v>
      </c>
      <c r="BM35" s="1">
        <v>3</v>
      </c>
      <c r="BN35" s="1">
        <v>1.0537342999999999</v>
      </c>
      <c r="BO35" s="1" t="s">
        <v>103</v>
      </c>
      <c r="CM35" s="1">
        <v>11</v>
      </c>
      <c r="CN35" s="1">
        <v>1</v>
      </c>
      <c r="CO35" s="1" t="s">
        <v>164</v>
      </c>
      <c r="CP35" s="1" t="s">
        <v>99</v>
      </c>
      <c r="CR35" s="1" t="s">
        <v>100</v>
      </c>
      <c r="CS35" s="1">
        <v>60.149326729999999</v>
      </c>
      <c r="CT35" s="1" t="s">
        <v>165</v>
      </c>
    </row>
    <row r="36" spans="2:98" x14ac:dyDescent="0.35">
      <c r="BP36" s="1">
        <v>53.510417199999999</v>
      </c>
      <c r="BQ36" s="1">
        <v>53.526408799999999</v>
      </c>
      <c r="BR36" s="1">
        <v>53.526408799999999</v>
      </c>
      <c r="BS36" s="1">
        <v>56.911776199999998</v>
      </c>
      <c r="BT36" s="1" t="s">
        <v>102</v>
      </c>
      <c r="BU36" s="1">
        <v>3.3802102999999999</v>
      </c>
      <c r="BV36" s="1" t="s">
        <v>103</v>
      </c>
      <c r="CM36" s="1">
        <v>11</v>
      </c>
      <c r="CN36" s="1">
        <v>1</v>
      </c>
      <c r="CO36" s="1" t="s">
        <v>164</v>
      </c>
      <c r="CP36" s="1" t="s">
        <v>99</v>
      </c>
      <c r="CR36" s="1" t="s">
        <v>100</v>
      </c>
      <c r="CS36" s="1">
        <v>60.149326729999999</v>
      </c>
      <c r="CT36" s="1" t="s">
        <v>165</v>
      </c>
    </row>
    <row r="37" spans="2:98" x14ac:dyDescent="0.35">
      <c r="B37" s="1">
        <v>0</v>
      </c>
      <c r="C37" s="1">
        <v>0</v>
      </c>
      <c r="D37" s="1">
        <v>0</v>
      </c>
      <c r="G37" s="1" t="s">
        <v>140</v>
      </c>
      <c r="H37" s="1" t="s">
        <v>136</v>
      </c>
      <c r="I37" s="1" t="s">
        <v>134</v>
      </c>
      <c r="J37" s="1">
        <v>0</v>
      </c>
      <c r="K37" s="1">
        <v>2.7933940000000002</v>
      </c>
      <c r="L37" s="1" t="s">
        <v>103</v>
      </c>
      <c r="Y37" s="1">
        <v>0</v>
      </c>
      <c r="Z37" s="1">
        <v>0</v>
      </c>
      <c r="AA37" s="1">
        <v>0</v>
      </c>
      <c r="AB37" s="1">
        <v>2</v>
      </c>
      <c r="AC37" s="1">
        <v>56.926385500000002</v>
      </c>
      <c r="AS37" s="1">
        <v>59.727001199999997</v>
      </c>
      <c r="AT37" s="1">
        <v>59.742791500000003</v>
      </c>
      <c r="AU37" s="1">
        <v>60.2265345</v>
      </c>
      <c r="BW37" s="1">
        <v>56.922277999999999</v>
      </c>
      <c r="BX37" s="1">
        <v>56.926385500000002</v>
      </c>
      <c r="BY37" s="1">
        <v>56.926385500000002</v>
      </c>
      <c r="BZ37" s="1">
        <v>59.726853300000002</v>
      </c>
      <c r="CA37" s="1" t="s">
        <v>134</v>
      </c>
      <c r="CB37" s="1">
        <v>0</v>
      </c>
      <c r="CC37" s="1">
        <v>2.7933940000000002</v>
      </c>
      <c r="CD37" s="1" t="s">
        <v>103</v>
      </c>
      <c r="CE37" s="1">
        <v>60.242923400000002</v>
      </c>
      <c r="CM37" s="1">
        <v>11</v>
      </c>
      <c r="CN37" s="1">
        <v>1</v>
      </c>
      <c r="CO37" s="1" t="s">
        <v>164</v>
      </c>
      <c r="CP37" s="1" t="s">
        <v>99</v>
      </c>
      <c r="CR37" s="1" t="s">
        <v>100</v>
      </c>
      <c r="CS37" s="1">
        <v>60.149326729999999</v>
      </c>
      <c r="CT37" s="1" t="s">
        <v>165</v>
      </c>
    </row>
    <row r="38" spans="2:98" x14ac:dyDescent="0.35">
      <c r="B38" s="1">
        <v>1</v>
      </c>
      <c r="C38" s="1">
        <v>1</v>
      </c>
      <c r="D38" s="1">
        <v>0</v>
      </c>
      <c r="G38" s="1" t="s">
        <v>116</v>
      </c>
      <c r="H38" s="1" t="s">
        <v>134</v>
      </c>
      <c r="I38" s="1" t="s">
        <v>136</v>
      </c>
      <c r="J38" s="1">
        <v>0</v>
      </c>
      <c r="K38" s="1">
        <v>0.64372980000000002</v>
      </c>
      <c r="L38" s="1" t="s">
        <v>103</v>
      </c>
      <c r="Y38" s="1">
        <v>0</v>
      </c>
      <c r="Z38" s="1">
        <v>1</v>
      </c>
      <c r="AA38" s="1">
        <v>1</v>
      </c>
      <c r="AB38" s="1">
        <v>4</v>
      </c>
      <c r="AC38" s="1">
        <v>60.242923400000002</v>
      </c>
      <c r="AS38" s="1">
        <v>60.893106099999997</v>
      </c>
      <c r="AT38" s="1">
        <v>60.909025100000001</v>
      </c>
      <c r="AU38" s="1">
        <v>61.3928078</v>
      </c>
      <c r="BW38" s="1">
        <v>60.229885199999998</v>
      </c>
      <c r="BX38" s="1">
        <v>60.242923400000002</v>
      </c>
      <c r="BY38" s="1">
        <v>60.242923400000002</v>
      </c>
      <c r="BZ38" s="1">
        <v>60.8930109</v>
      </c>
      <c r="CA38" s="1" t="s">
        <v>136</v>
      </c>
      <c r="CB38" s="1">
        <v>0</v>
      </c>
      <c r="CC38" s="1">
        <v>0.64372980000000002</v>
      </c>
      <c r="CD38" s="1" t="s">
        <v>103</v>
      </c>
      <c r="CE38" s="1">
        <v>61.409060400000001</v>
      </c>
      <c r="CM38" s="1">
        <v>11</v>
      </c>
      <c r="CN38" s="1">
        <v>1</v>
      </c>
      <c r="CO38" s="1" t="s">
        <v>164</v>
      </c>
      <c r="CP38" s="1" t="s">
        <v>99</v>
      </c>
      <c r="CR38" s="1" t="s">
        <v>100</v>
      </c>
      <c r="CS38" s="1">
        <v>60.149326729999999</v>
      </c>
      <c r="CT38" s="1" t="s">
        <v>165</v>
      </c>
    </row>
    <row r="39" spans="2:98" x14ac:dyDescent="0.35">
      <c r="B39" s="1">
        <v>2</v>
      </c>
      <c r="C39" s="1">
        <v>2</v>
      </c>
      <c r="D39" s="1">
        <v>0</v>
      </c>
      <c r="G39" s="1" t="s">
        <v>135</v>
      </c>
      <c r="H39" s="1" t="s">
        <v>136</v>
      </c>
      <c r="I39" s="1" t="s">
        <v>136</v>
      </c>
      <c r="J39" s="1">
        <v>1</v>
      </c>
      <c r="K39" s="1">
        <v>0.62639730000000005</v>
      </c>
      <c r="L39" s="1" t="s">
        <v>103</v>
      </c>
      <c r="Y39" s="1">
        <v>0</v>
      </c>
      <c r="Z39" s="1">
        <v>2</v>
      </c>
      <c r="AA39" s="1">
        <v>2</v>
      </c>
      <c r="AB39" s="1">
        <v>8</v>
      </c>
      <c r="AC39" s="1">
        <v>61.409060400000001</v>
      </c>
      <c r="AS39" s="1">
        <v>62.042886000000003</v>
      </c>
      <c r="AT39" s="1">
        <v>62.059053599999999</v>
      </c>
      <c r="AU39" s="1">
        <v>62.543208100000001</v>
      </c>
      <c r="BW39" s="1">
        <v>61.397133500000002</v>
      </c>
      <c r="BX39" s="1">
        <v>61.409060400000001</v>
      </c>
      <c r="BY39" s="1">
        <v>61.409060400000001</v>
      </c>
      <c r="BZ39" s="1">
        <v>62.042793799999998</v>
      </c>
      <c r="CA39" s="1" t="s">
        <v>136</v>
      </c>
      <c r="CB39" s="1">
        <v>1</v>
      </c>
      <c r="CC39" s="1">
        <v>0.62639730000000005</v>
      </c>
      <c r="CD39" s="1" t="s">
        <v>103</v>
      </c>
      <c r="CE39" s="1">
        <v>62.559375199999998</v>
      </c>
      <c r="CM39" s="1">
        <v>11</v>
      </c>
      <c r="CN39" s="1">
        <v>1</v>
      </c>
      <c r="CO39" s="1" t="s">
        <v>164</v>
      </c>
      <c r="CP39" s="1" t="s">
        <v>99</v>
      </c>
      <c r="CR39" s="1" t="s">
        <v>100</v>
      </c>
      <c r="CS39" s="1">
        <v>60.149326729999999</v>
      </c>
      <c r="CT39" s="1" t="s">
        <v>165</v>
      </c>
    </row>
    <row r="40" spans="2:98" x14ac:dyDescent="0.35">
      <c r="B40" s="1">
        <v>3</v>
      </c>
      <c r="C40" s="1">
        <v>3</v>
      </c>
      <c r="D40" s="1">
        <v>0</v>
      </c>
      <c r="G40" s="1" t="s">
        <v>141</v>
      </c>
      <c r="H40" s="1" t="s">
        <v>136</v>
      </c>
      <c r="I40" s="1" t="s">
        <v>134</v>
      </c>
      <c r="J40" s="1">
        <v>0</v>
      </c>
      <c r="K40" s="1">
        <v>0.77024389999999998</v>
      </c>
      <c r="L40" s="1" t="s">
        <v>103</v>
      </c>
      <c r="Y40" s="1">
        <v>0</v>
      </c>
      <c r="Z40" s="1">
        <v>3</v>
      </c>
      <c r="AA40" s="1">
        <v>3</v>
      </c>
      <c r="AB40" s="1">
        <v>1</v>
      </c>
      <c r="AC40" s="1">
        <v>62.559375199999998</v>
      </c>
      <c r="AS40" s="1">
        <v>63.343113299999999</v>
      </c>
      <c r="AT40" s="1">
        <v>63.359321100000003</v>
      </c>
      <c r="AU40" s="1">
        <v>63.843130500000001</v>
      </c>
      <c r="BW40" s="1">
        <v>62.546920200000002</v>
      </c>
      <c r="BX40" s="1">
        <v>62.559375199999998</v>
      </c>
      <c r="BY40" s="1">
        <v>62.559375199999998</v>
      </c>
      <c r="BZ40" s="1">
        <v>63.343022300000001</v>
      </c>
      <c r="CA40" s="1" t="s">
        <v>134</v>
      </c>
      <c r="CB40" s="1">
        <v>0</v>
      </c>
      <c r="CC40" s="1">
        <v>0.77024389999999998</v>
      </c>
      <c r="CD40" s="1" t="s">
        <v>103</v>
      </c>
      <c r="CE40" s="1">
        <v>63.859152899999998</v>
      </c>
      <c r="CM40" s="1">
        <v>11</v>
      </c>
      <c r="CN40" s="1">
        <v>1</v>
      </c>
      <c r="CO40" s="1" t="s">
        <v>164</v>
      </c>
      <c r="CP40" s="1" t="s">
        <v>99</v>
      </c>
      <c r="CR40" s="1" t="s">
        <v>100</v>
      </c>
      <c r="CS40" s="1">
        <v>60.149326729999999</v>
      </c>
      <c r="CT40" s="1" t="s">
        <v>165</v>
      </c>
    </row>
    <row r="41" spans="2:98" x14ac:dyDescent="0.35">
      <c r="B41" s="1">
        <v>4</v>
      </c>
      <c r="C41" s="1">
        <v>4</v>
      </c>
      <c r="D41" s="1">
        <v>0</v>
      </c>
      <c r="G41" s="1" t="s">
        <v>139</v>
      </c>
      <c r="H41" s="1" t="s">
        <v>136</v>
      </c>
      <c r="I41" s="1" t="s">
        <v>136</v>
      </c>
      <c r="J41" s="1">
        <v>1</v>
      </c>
      <c r="K41" s="1">
        <v>1.7308897999999999</v>
      </c>
      <c r="L41" s="1" t="s">
        <v>103</v>
      </c>
      <c r="Y41" s="1">
        <v>0</v>
      </c>
      <c r="Z41" s="1">
        <v>4</v>
      </c>
      <c r="AA41" s="1">
        <v>4</v>
      </c>
      <c r="AB41" s="1">
        <v>9</v>
      </c>
      <c r="AC41" s="1">
        <v>63.859152899999998</v>
      </c>
      <c r="AS41" s="1">
        <v>65.593331199999994</v>
      </c>
      <c r="AT41" s="1">
        <v>65.609279799999996</v>
      </c>
      <c r="AU41" s="1">
        <v>66.092774500000004</v>
      </c>
      <c r="BW41" s="1">
        <v>63.847403900000003</v>
      </c>
      <c r="BX41" s="1">
        <v>63.859152899999998</v>
      </c>
      <c r="BY41" s="1">
        <v>63.859152899999998</v>
      </c>
      <c r="BZ41" s="1">
        <v>65.593221499999999</v>
      </c>
      <c r="CA41" s="1" t="s">
        <v>136</v>
      </c>
      <c r="CB41" s="1">
        <v>1</v>
      </c>
      <c r="CC41" s="1">
        <v>1.7308897999999999</v>
      </c>
      <c r="CD41" s="1" t="s">
        <v>103</v>
      </c>
      <c r="CE41" s="1">
        <v>66.109288699999993</v>
      </c>
      <c r="CM41" s="1">
        <v>11</v>
      </c>
      <c r="CN41" s="1">
        <v>1</v>
      </c>
      <c r="CO41" s="1" t="s">
        <v>164</v>
      </c>
      <c r="CP41" s="1" t="s">
        <v>99</v>
      </c>
      <c r="CR41" s="1" t="s">
        <v>100</v>
      </c>
      <c r="CS41" s="1">
        <v>60.149326729999999</v>
      </c>
      <c r="CT41" s="1" t="s">
        <v>165</v>
      </c>
    </row>
    <row r="42" spans="2:98" x14ac:dyDescent="0.35">
      <c r="B42" s="1">
        <v>5</v>
      </c>
      <c r="C42" s="1">
        <v>5</v>
      </c>
      <c r="D42" s="1">
        <v>0</v>
      </c>
      <c r="G42" s="1" t="s">
        <v>138</v>
      </c>
      <c r="H42" s="1" t="s">
        <v>136</v>
      </c>
      <c r="I42" s="1" t="s">
        <v>134</v>
      </c>
      <c r="J42" s="1">
        <v>0</v>
      </c>
      <c r="K42" s="1">
        <v>3.7361138999999999</v>
      </c>
      <c r="L42" s="1" t="s">
        <v>103</v>
      </c>
      <c r="Y42" s="1">
        <v>0</v>
      </c>
      <c r="Z42" s="1">
        <v>5</v>
      </c>
      <c r="AA42" s="1">
        <v>5</v>
      </c>
      <c r="AB42" s="1">
        <v>0</v>
      </c>
      <c r="AC42" s="1">
        <v>66.109288699999993</v>
      </c>
      <c r="AS42" s="1">
        <v>69.859325499999997</v>
      </c>
      <c r="AT42" s="1">
        <v>69.875430100000003</v>
      </c>
      <c r="AU42" s="1">
        <v>70.359576899999993</v>
      </c>
      <c r="BW42" s="1">
        <v>66.096020100000004</v>
      </c>
      <c r="BX42" s="1">
        <v>66.109288699999993</v>
      </c>
      <c r="BY42" s="1">
        <v>66.109288699999993</v>
      </c>
      <c r="BZ42" s="1">
        <v>69.859236999999993</v>
      </c>
      <c r="CA42" s="1" t="s">
        <v>134</v>
      </c>
      <c r="CB42" s="1">
        <v>0</v>
      </c>
      <c r="CC42" s="1">
        <v>3.7361138999999999</v>
      </c>
      <c r="CD42" s="1" t="s">
        <v>103</v>
      </c>
      <c r="CM42" s="1">
        <v>11</v>
      </c>
      <c r="CN42" s="1">
        <v>1</v>
      </c>
      <c r="CO42" s="1" t="s">
        <v>164</v>
      </c>
      <c r="CP42" s="1" t="s">
        <v>99</v>
      </c>
      <c r="CR42" s="1" t="s">
        <v>100</v>
      </c>
      <c r="CS42" s="1">
        <v>60.149326729999999</v>
      </c>
      <c r="CT42" s="1" t="s">
        <v>165</v>
      </c>
    </row>
    <row r="43" spans="2:98" x14ac:dyDescent="0.35">
      <c r="B43" s="1">
        <v>6</v>
      </c>
      <c r="C43" s="1">
        <v>6</v>
      </c>
      <c r="D43" s="1">
        <v>0</v>
      </c>
      <c r="G43" s="1" t="s">
        <v>130</v>
      </c>
      <c r="H43" s="1" t="s">
        <v>134</v>
      </c>
      <c r="I43" s="1" t="s">
        <v>134</v>
      </c>
      <c r="J43" s="1">
        <v>1</v>
      </c>
      <c r="K43" s="1">
        <v>2.2338081000000001</v>
      </c>
      <c r="L43" s="1" t="s">
        <v>103</v>
      </c>
      <c r="Y43" s="1">
        <v>0</v>
      </c>
      <c r="Z43" s="1">
        <v>6</v>
      </c>
      <c r="AA43" s="1">
        <v>6</v>
      </c>
      <c r="AB43" s="1">
        <v>6</v>
      </c>
      <c r="AC43" s="1">
        <v>70.375678100000002</v>
      </c>
      <c r="AS43" s="1">
        <v>72.610938399999995</v>
      </c>
      <c r="AT43" s="1">
        <v>72.626169300000001</v>
      </c>
      <c r="AU43" s="1">
        <v>73.109484899999998</v>
      </c>
      <c r="BW43" s="1">
        <v>70.363212500000003</v>
      </c>
      <c r="BX43" s="1">
        <v>70.375678100000002</v>
      </c>
      <c r="BY43" s="1">
        <v>70.375678100000002</v>
      </c>
      <c r="BZ43" s="1">
        <v>72.610810000000001</v>
      </c>
      <c r="CA43" s="1" t="s">
        <v>134</v>
      </c>
      <c r="CB43" s="1">
        <v>1</v>
      </c>
      <c r="CC43" s="1">
        <v>2.2338081000000001</v>
      </c>
      <c r="CD43" s="1" t="s">
        <v>103</v>
      </c>
      <c r="CE43" s="1">
        <v>73.125252099999997</v>
      </c>
      <c r="CM43" s="1">
        <v>11</v>
      </c>
      <c r="CN43" s="1">
        <v>1</v>
      </c>
      <c r="CO43" s="1" t="s">
        <v>164</v>
      </c>
      <c r="CP43" s="1" t="s">
        <v>99</v>
      </c>
      <c r="CR43" s="1" t="s">
        <v>100</v>
      </c>
      <c r="CS43" s="1">
        <v>60.149326729999999</v>
      </c>
      <c r="CT43" s="1" t="s">
        <v>165</v>
      </c>
    </row>
    <row r="44" spans="2:98" x14ac:dyDescent="0.35">
      <c r="B44" s="1">
        <v>7</v>
      </c>
      <c r="C44" s="1">
        <v>7</v>
      </c>
      <c r="D44" s="1">
        <v>0</v>
      </c>
      <c r="G44" s="1" t="s">
        <v>137</v>
      </c>
      <c r="H44" s="1" t="s">
        <v>136</v>
      </c>
      <c r="I44" s="1" t="s">
        <v>136</v>
      </c>
      <c r="J44" s="1">
        <v>1</v>
      </c>
      <c r="K44" s="1">
        <v>0.7166574</v>
      </c>
      <c r="L44" s="1" t="s">
        <v>103</v>
      </c>
      <c r="Y44" s="1">
        <v>0</v>
      </c>
      <c r="Z44" s="1">
        <v>7</v>
      </c>
      <c r="AA44" s="1">
        <v>7</v>
      </c>
      <c r="AB44" s="1">
        <v>7</v>
      </c>
      <c r="AC44" s="1">
        <v>73.125252099999997</v>
      </c>
      <c r="AS44" s="1">
        <v>73.843810500000004</v>
      </c>
      <c r="AT44" s="1">
        <v>73.859323900000007</v>
      </c>
      <c r="AU44" s="1">
        <v>74.342793</v>
      </c>
      <c r="BW44" s="1">
        <v>73.1128681</v>
      </c>
      <c r="BX44" s="1">
        <v>73.125252099999997</v>
      </c>
      <c r="BY44" s="1">
        <v>73.125252099999997</v>
      </c>
      <c r="BZ44" s="1">
        <v>73.843672699999999</v>
      </c>
      <c r="CA44" s="1" t="s">
        <v>136</v>
      </c>
      <c r="CB44" s="1">
        <v>1</v>
      </c>
      <c r="CC44" s="1">
        <v>0.7166574</v>
      </c>
      <c r="CD44" s="1" t="s">
        <v>103</v>
      </c>
      <c r="CE44" s="1">
        <v>74.359293500000007</v>
      </c>
      <c r="CM44" s="1">
        <v>11</v>
      </c>
      <c r="CN44" s="1">
        <v>1</v>
      </c>
      <c r="CO44" s="1" t="s">
        <v>164</v>
      </c>
      <c r="CP44" s="1" t="s">
        <v>99</v>
      </c>
      <c r="CR44" s="1" t="s">
        <v>100</v>
      </c>
      <c r="CS44" s="1">
        <v>60.149326729999999</v>
      </c>
      <c r="CT44" s="1" t="s">
        <v>165</v>
      </c>
    </row>
    <row r="45" spans="2:98" x14ac:dyDescent="0.35">
      <c r="B45" s="1">
        <v>8</v>
      </c>
      <c r="C45" s="1">
        <v>8</v>
      </c>
      <c r="D45" s="1">
        <v>0</v>
      </c>
      <c r="G45" s="1" t="s">
        <v>129</v>
      </c>
      <c r="H45" s="1" t="s">
        <v>134</v>
      </c>
      <c r="I45" s="1" t="s">
        <v>134</v>
      </c>
      <c r="J45" s="1">
        <v>1</v>
      </c>
      <c r="K45" s="1">
        <v>1.0481113</v>
      </c>
      <c r="L45" s="1" t="s">
        <v>103</v>
      </c>
      <c r="Y45" s="1">
        <v>0</v>
      </c>
      <c r="Z45" s="1">
        <v>8</v>
      </c>
      <c r="AA45" s="1">
        <v>8</v>
      </c>
      <c r="AB45" s="1">
        <v>5</v>
      </c>
      <c r="AC45" s="1">
        <v>74.359293500000007</v>
      </c>
      <c r="AS45" s="1">
        <v>75.409545899999998</v>
      </c>
      <c r="AT45" s="1">
        <v>75.425769799999998</v>
      </c>
      <c r="AU45" s="1">
        <v>75.909561499999995</v>
      </c>
      <c r="BW45" s="1">
        <v>74.346421599999999</v>
      </c>
      <c r="BX45" s="1">
        <v>74.359293500000007</v>
      </c>
      <c r="BY45" s="1">
        <v>74.359293500000007</v>
      </c>
      <c r="BZ45" s="1">
        <v>75.409443699999997</v>
      </c>
      <c r="CA45" s="1" t="s">
        <v>134</v>
      </c>
      <c r="CB45" s="1">
        <v>1</v>
      </c>
      <c r="CC45" s="1">
        <v>1.0481113</v>
      </c>
      <c r="CD45" s="1" t="s">
        <v>103</v>
      </c>
      <c r="CE45" s="1">
        <v>75.925715800000006</v>
      </c>
      <c r="CM45" s="1">
        <v>11</v>
      </c>
      <c r="CN45" s="1">
        <v>1</v>
      </c>
      <c r="CO45" s="1" t="s">
        <v>164</v>
      </c>
      <c r="CP45" s="1" t="s">
        <v>99</v>
      </c>
      <c r="CR45" s="1" t="s">
        <v>100</v>
      </c>
      <c r="CS45" s="1">
        <v>60.149326729999999</v>
      </c>
      <c r="CT45" s="1" t="s">
        <v>165</v>
      </c>
    </row>
    <row r="46" spans="2:98" x14ac:dyDescent="0.35">
      <c r="B46" s="1">
        <v>9</v>
      </c>
      <c r="C46" s="1">
        <v>9</v>
      </c>
      <c r="D46" s="1">
        <v>0</v>
      </c>
      <c r="G46" s="1" t="s">
        <v>106</v>
      </c>
      <c r="H46" s="1" t="s">
        <v>134</v>
      </c>
      <c r="I46" s="1" t="s">
        <v>134</v>
      </c>
      <c r="J46" s="1">
        <v>1</v>
      </c>
      <c r="K46" s="1">
        <v>1.7375153000000001</v>
      </c>
      <c r="L46" s="1" t="s">
        <v>103</v>
      </c>
      <c r="Y46" s="1">
        <v>0</v>
      </c>
      <c r="Z46" s="1">
        <v>9</v>
      </c>
      <c r="AA46" s="1">
        <v>9</v>
      </c>
      <c r="AB46" s="1">
        <v>3</v>
      </c>
      <c r="AC46" s="1">
        <v>75.925715800000006</v>
      </c>
      <c r="AS46" s="1">
        <v>77.675576100000001</v>
      </c>
      <c r="AT46" s="1">
        <v>77.692341900000002</v>
      </c>
      <c r="AU46" s="1">
        <v>78.1754617</v>
      </c>
      <c r="BW46" s="1">
        <v>75.913060099999996</v>
      </c>
      <c r="BX46" s="1">
        <v>75.925715800000006</v>
      </c>
      <c r="BY46" s="1">
        <v>75.925715800000006</v>
      </c>
      <c r="BZ46" s="1">
        <v>77.675477999999998</v>
      </c>
      <c r="CA46" s="1" t="s">
        <v>134</v>
      </c>
      <c r="CB46" s="1">
        <v>1</v>
      </c>
      <c r="CC46" s="1">
        <v>1.7375153000000001</v>
      </c>
      <c r="CD46" s="1" t="s">
        <v>103</v>
      </c>
      <c r="CE46" s="1">
        <v>78.192038699999998</v>
      </c>
      <c r="CM46" s="1">
        <v>11</v>
      </c>
      <c r="CN46" s="1">
        <v>1</v>
      </c>
      <c r="CO46" s="1" t="s">
        <v>164</v>
      </c>
      <c r="CP46" s="1" t="s">
        <v>99</v>
      </c>
      <c r="CR46" s="1" t="s">
        <v>100</v>
      </c>
      <c r="CS46" s="1">
        <v>60.149326729999999</v>
      </c>
      <c r="CT46" s="1" t="s">
        <v>165</v>
      </c>
    </row>
    <row r="47" spans="2:98" x14ac:dyDescent="0.35">
      <c r="CF47" s="1">
        <v>78.175617799999998</v>
      </c>
      <c r="CG47" s="1">
        <v>78.192038699999998</v>
      </c>
      <c r="CH47" s="1">
        <v>78.192038699999998</v>
      </c>
      <c r="CI47" s="1">
        <v>80.592765099999994</v>
      </c>
      <c r="CJ47" s="1" t="s">
        <v>102</v>
      </c>
      <c r="CK47" s="1">
        <v>2.3937300000000001</v>
      </c>
      <c r="CL47" s="1" t="s">
        <v>103</v>
      </c>
      <c r="CM47" s="1">
        <v>11</v>
      </c>
      <c r="CN47" s="1">
        <v>1</v>
      </c>
      <c r="CO47" s="1" t="s">
        <v>164</v>
      </c>
      <c r="CP47" s="1" t="s">
        <v>99</v>
      </c>
      <c r="CR47" s="1" t="s">
        <v>100</v>
      </c>
      <c r="CS47" s="1">
        <v>60.149326729999999</v>
      </c>
      <c r="CT47" s="1" t="s">
        <v>165</v>
      </c>
    </row>
    <row r="49" spans="10:11" x14ac:dyDescent="0.35">
      <c r="J49" s="2">
        <f>AVERAGE(J37:J46)</f>
        <v>0.6</v>
      </c>
      <c r="K49" s="2">
        <f>AVERAGE(K37:K46)</f>
        <v>1.6036860799999999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B14177-BA6E-41ED-83E0-733E92173C2D}">
  <dimension ref="A2:C16"/>
  <sheetViews>
    <sheetView workbookViewId="0">
      <selection activeCell="C10" sqref="C10"/>
    </sheetView>
  </sheetViews>
  <sheetFormatPr defaultRowHeight="14.5" x14ac:dyDescent="0.35"/>
  <cols>
    <col min="1" max="1" width="18.54296875" style="5" customWidth="1"/>
    <col min="2" max="2" width="32.90625" style="5" customWidth="1"/>
    <col min="3" max="3" width="31.08984375" style="5" customWidth="1"/>
    <col min="4" max="16384" width="8.7265625" style="5"/>
  </cols>
  <sheetData>
    <row r="2" spans="1:3" x14ac:dyDescent="0.35">
      <c r="C2" s="6" t="s">
        <v>193</v>
      </c>
    </row>
    <row r="3" spans="1:3" ht="29" x14ac:dyDescent="0.35">
      <c r="A3" s="6" t="s">
        <v>188</v>
      </c>
      <c r="B3" s="6" t="s">
        <v>189</v>
      </c>
      <c r="C3" s="5" t="s">
        <v>192</v>
      </c>
    </row>
    <row r="4" spans="1:3" ht="29" x14ac:dyDescent="0.35">
      <c r="A4" s="6" t="s">
        <v>190</v>
      </c>
      <c r="B4" s="6" t="s">
        <v>194</v>
      </c>
      <c r="C4" s="5" t="s">
        <v>196</v>
      </c>
    </row>
    <row r="5" spans="1:3" ht="43.5" x14ac:dyDescent="0.35">
      <c r="A5" s="6" t="s">
        <v>191</v>
      </c>
      <c r="B5" s="6" t="s">
        <v>195</v>
      </c>
      <c r="C5" s="5" t="s">
        <v>197</v>
      </c>
    </row>
    <row r="7" spans="1:3" x14ac:dyDescent="0.35">
      <c r="A7" s="21"/>
      <c r="B7" s="21"/>
      <c r="C7" s="21"/>
    </row>
    <row r="8" spans="1:3" s="7" customFormat="1" x14ac:dyDescent="0.35"/>
    <row r="9" spans="1:3" x14ac:dyDescent="0.35">
      <c r="B9" s="6"/>
      <c r="C9" s="6"/>
    </row>
    <row r="10" spans="1:3" x14ac:dyDescent="0.35">
      <c r="A10" s="6"/>
    </row>
    <row r="11" spans="1:3" x14ac:dyDescent="0.35">
      <c r="A11" s="6"/>
    </row>
    <row r="12" spans="1:3" x14ac:dyDescent="0.35">
      <c r="A12" s="6"/>
    </row>
    <row r="15" spans="1:3" ht="29" x14ac:dyDescent="0.35"/>
    <row r="16" spans="1:3" ht="29" x14ac:dyDescent="0.35"/>
  </sheetData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BBAD4F-BB30-4890-B608-6FF1F0199DD6}">
  <dimension ref="A1:N24"/>
  <sheetViews>
    <sheetView tabSelected="1" workbookViewId="0">
      <selection activeCell="G16" sqref="G16"/>
    </sheetView>
  </sheetViews>
  <sheetFormatPr defaultRowHeight="14.5" x14ac:dyDescent="0.35"/>
  <cols>
    <col min="1" max="1" width="10.54296875" style="9" customWidth="1"/>
    <col min="2" max="2" width="13.90625" style="9" customWidth="1"/>
    <col min="3" max="3" width="15.26953125" style="9" customWidth="1"/>
    <col min="4" max="4" width="14.54296875" style="9" customWidth="1"/>
    <col min="5" max="16384" width="8.7265625" style="9"/>
  </cols>
  <sheetData>
    <row r="1" spans="1:14" ht="29" x14ac:dyDescent="0.35">
      <c r="A1" s="8"/>
      <c r="B1" s="6" t="s">
        <v>185</v>
      </c>
      <c r="C1" s="6" t="s">
        <v>186</v>
      </c>
      <c r="D1" s="6" t="s">
        <v>187</v>
      </c>
      <c r="E1" s="8"/>
      <c r="F1" s="8"/>
      <c r="G1" s="8"/>
      <c r="H1" s="8"/>
      <c r="I1" s="8"/>
      <c r="J1" s="8"/>
      <c r="K1" s="8"/>
      <c r="L1" s="8"/>
      <c r="M1" s="8"/>
    </row>
    <row r="2" spans="1:14" x14ac:dyDescent="0.35">
      <c r="A2" s="6" t="s">
        <v>168</v>
      </c>
      <c r="B2" s="9">
        <f>4/4</f>
        <v>1</v>
      </c>
      <c r="C2" s="9">
        <f>0/3</f>
        <v>0</v>
      </c>
      <c r="D2" s="9">
        <f>3/3</f>
        <v>1</v>
      </c>
      <c r="I2" s="22" t="s">
        <v>209</v>
      </c>
      <c r="J2" s="22"/>
      <c r="K2" s="22"/>
      <c r="L2" s="22"/>
      <c r="M2" s="22"/>
      <c r="N2" s="22"/>
    </row>
    <row r="3" spans="1:14" x14ac:dyDescent="0.35">
      <c r="A3" s="6" t="s">
        <v>169</v>
      </c>
      <c r="B3" s="9">
        <f>2/4</f>
        <v>0.5</v>
      </c>
      <c r="C3" s="9">
        <f t="shared" ref="C3:C13" si="0">0/3</f>
        <v>0</v>
      </c>
      <c r="D3" s="9">
        <f>2/3</f>
        <v>0.66666666666666663</v>
      </c>
      <c r="I3" s="11" t="s">
        <v>210</v>
      </c>
      <c r="J3" s="11" t="s">
        <v>211</v>
      </c>
      <c r="K3" s="11" t="s">
        <v>212</v>
      </c>
      <c r="L3" s="11" t="s">
        <v>213</v>
      </c>
      <c r="M3" s="11" t="s">
        <v>214</v>
      </c>
      <c r="N3" s="11" t="s">
        <v>215</v>
      </c>
    </row>
    <row r="4" spans="1:14" x14ac:dyDescent="0.35">
      <c r="A4" s="6" t="s">
        <v>170</v>
      </c>
      <c r="B4" s="9">
        <f>4/4</f>
        <v>1</v>
      </c>
      <c r="C4" s="9">
        <f t="shared" si="0"/>
        <v>0</v>
      </c>
      <c r="D4" s="9">
        <f>3/3</f>
        <v>1</v>
      </c>
      <c r="I4" s="18" t="s">
        <v>199</v>
      </c>
      <c r="J4" s="19">
        <v>4.673</v>
      </c>
      <c r="K4" s="19">
        <v>2</v>
      </c>
      <c r="L4" s="19">
        <v>2.3359999999999999</v>
      </c>
      <c r="M4" s="19">
        <v>48.98</v>
      </c>
      <c r="N4" s="19" t="s">
        <v>216</v>
      </c>
    </row>
    <row r="5" spans="1:14" x14ac:dyDescent="0.35">
      <c r="A5" s="6" t="s">
        <v>171</v>
      </c>
      <c r="B5" s="9">
        <f>1/4</f>
        <v>0.25</v>
      </c>
      <c r="C5" s="9">
        <f t="shared" si="0"/>
        <v>0</v>
      </c>
      <c r="D5" s="9">
        <f>0/3</f>
        <v>0</v>
      </c>
      <c r="I5" s="14" t="s">
        <v>217</v>
      </c>
      <c r="J5" s="15">
        <v>1.0489999999999999</v>
      </c>
      <c r="K5" s="15">
        <v>22</v>
      </c>
      <c r="L5" s="15">
        <v>4.8000000000000001E-2</v>
      </c>
      <c r="M5" s="15"/>
      <c r="N5" s="15"/>
    </row>
    <row r="6" spans="1:14" x14ac:dyDescent="0.35">
      <c r="A6" s="6" t="s">
        <v>172</v>
      </c>
      <c r="B6" s="9">
        <f>2/4</f>
        <v>0.5</v>
      </c>
      <c r="C6" s="9">
        <f t="shared" si="0"/>
        <v>0</v>
      </c>
      <c r="D6" s="9">
        <f>1/3</f>
        <v>0.33333333333333331</v>
      </c>
      <c r="I6" s="20"/>
      <c r="J6" s="20"/>
      <c r="K6" s="20"/>
      <c r="L6" s="20"/>
      <c r="M6" s="20"/>
      <c r="N6" s="20"/>
    </row>
    <row r="7" spans="1:14" x14ac:dyDescent="0.35">
      <c r="A7" s="6" t="s">
        <v>173</v>
      </c>
      <c r="B7" s="9">
        <f>2/4</f>
        <v>0.5</v>
      </c>
      <c r="C7" s="9">
        <f t="shared" si="0"/>
        <v>0</v>
      </c>
      <c r="D7" s="9">
        <f>3/3</f>
        <v>1</v>
      </c>
      <c r="I7" s="16" t="s">
        <v>218</v>
      </c>
      <c r="J7" s="16"/>
      <c r="K7" s="16"/>
      <c r="L7" s="16"/>
      <c r="M7" s="16"/>
      <c r="N7" s="16"/>
    </row>
    <row r="8" spans="1:14" x14ac:dyDescent="0.35">
      <c r="A8" s="6" t="s">
        <v>174</v>
      </c>
      <c r="B8" s="9">
        <f>4/4</f>
        <v>1</v>
      </c>
      <c r="C8" s="9">
        <f t="shared" si="0"/>
        <v>0</v>
      </c>
      <c r="D8" s="9">
        <f>3/3</f>
        <v>1</v>
      </c>
    </row>
    <row r="9" spans="1:14" x14ac:dyDescent="0.35">
      <c r="A9" s="6" t="s">
        <v>175</v>
      </c>
      <c r="B9" s="9">
        <f>3/4</f>
        <v>0.75</v>
      </c>
      <c r="C9" s="9">
        <f t="shared" si="0"/>
        <v>0</v>
      </c>
      <c r="D9" s="9">
        <f>3/3</f>
        <v>1</v>
      </c>
      <c r="I9" s="22" t="s">
        <v>219</v>
      </c>
      <c r="J9" s="22"/>
      <c r="K9" s="22"/>
      <c r="L9" s="22"/>
      <c r="M9" s="22"/>
      <c r="N9" s="22"/>
    </row>
    <row r="10" spans="1:14" x14ac:dyDescent="0.35">
      <c r="A10" s="6" t="s">
        <v>179</v>
      </c>
      <c r="B10" s="9">
        <f>4/4</f>
        <v>1</v>
      </c>
      <c r="C10" s="9">
        <f t="shared" si="0"/>
        <v>0</v>
      </c>
      <c r="D10" s="9">
        <f>3/3</f>
        <v>1</v>
      </c>
      <c r="I10" s="11" t="s">
        <v>210</v>
      </c>
      <c r="J10" s="11" t="s">
        <v>211</v>
      </c>
      <c r="K10" s="11" t="s">
        <v>212</v>
      </c>
      <c r="L10" s="11" t="s">
        <v>213</v>
      </c>
      <c r="M10" s="11" t="s">
        <v>214</v>
      </c>
      <c r="N10" s="11" t="s">
        <v>215</v>
      </c>
    </row>
    <row r="11" spans="1:14" x14ac:dyDescent="0.35">
      <c r="A11" s="6" t="s">
        <v>176</v>
      </c>
      <c r="B11" s="9">
        <f>3/4</f>
        <v>0.75</v>
      </c>
      <c r="C11" s="9">
        <f t="shared" si="0"/>
        <v>0</v>
      </c>
      <c r="D11" s="9">
        <f>3/3</f>
        <v>1</v>
      </c>
      <c r="I11" s="18" t="s">
        <v>217</v>
      </c>
      <c r="J11" s="19">
        <v>1.1080000000000001</v>
      </c>
      <c r="K11" s="19">
        <v>11</v>
      </c>
      <c r="L11" s="19">
        <v>0.10100000000000001</v>
      </c>
      <c r="M11" s="19"/>
      <c r="N11" s="19"/>
    </row>
    <row r="12" spans="1:14" x14ac:dyDescent="0.35">
      <c r="A12" s="6" t="s">
        <v>177</v>
      </c>
      <c r="B12" s="9">
        <f>4/4</f>
        <v>1</v>
      </c>
      <c r="C12" s="9">
        <f t="shared" si="0"/>
        <v>0</v>
      </c>
      <c r="D12" s="9">
        <f>1/3</f>
        <v>0.33333333333333331</v>
      </c>
      <c r="I12" s="17"/>
      <c r="J12" s="17"/>
      <c r="K12" s="17"/>
      <c r="L12" s="17"/>
      <c r="M12" s="17"/>
      <c r="N12" s="17"/>
    </row>
    <row r="13" spans="1:14" x14ac:dyDescent="0.35">
      <c r="A13" s="6" t="s">
        <v>178</v>
      </c>
      <c r="B13" s="9">
        <f>3/4</f>
        <v>0.75</v>
      </c>
      <c r="C13" s="9">
        <f t="shared" si="0"/>
        <v>0</v>
      </c>
      <c r="D13" s="9">
        <f>3/3</f>
        <v>1</v>
      </c>
      <c r="I13" s="16" t="s">
        <v>218</v>
      </c>
      <c r="J13" s="16"/>
      <c r="K13" s="16"/>
      <c r="L13" s="16"/>
      <c r="M13" s="16"/>
      <c r="N13" s="16"/>
    </row>
    <row r="18" spans="1:6" x14ac:dyDescent="0.35">
      <c r="A18" s="10"/>
      <c r="B18"/>
      <c r="C18"/>
      <c r="D18"/>
      <c r="E18"/>
      <c r="F18"/>
    </row>
    <row r="19" spans="1:6" x14ac:dyDescent="0.35">
      <c r="A19" s="22" t="s">
        <v>198</v>
      </c>
      <c r="B19" s="22"/>
      <c r="C19" s="22"/>
      <c r="D19" s="22"/>
      <c r="E19" s="22"/>
      <c r="F19" s="22"/>
    </row>
    <row r="20" spans="1:6" ht="16" x14ac:dyDescent="0.35">
      <c r="A20" s="11" t="s">
        <v>199</v>
      </c>
      <c r="B20" s="11" t="s">
        <v>200</v>
      </c>
      <c r="C20" s="11" t="s">
        <v>201</v>
      </c>
      <c r="D20" s="11" t="s">
        <v>202</v>
      </c>
      <c r="E20" s="11" t="s">
        <v>203</v>
      </c>
      <c r="F20" s="11" t="s">
        <v>204</v>
      </c>
    </row>
    <row r="21" spans="1:6" x14ac:dyDescent="0.35">
      <c r="A21" s="12" t="s">
        <v>205</v>
      </c>
      <c r="B21" s="13">
        <v>12</v>
      </c>
      <c r="C21" s="13">
        <v>0.75</v>
      </c>
      <c r="D21" s="13">
        <v>0.26100000000000001</v>
      </c>
      <c r="E21" s="13">
        <v>7.4999999999999997E-2</v>
      </c>
      <c r="F21" s="13">
        <v>0.34799999999999998</v>
      </c>
    </row>
    <row r="22" spans="1:6" x14ac:dyDescent="0.35">
      <c r="A22" s="14" t="s">
        <v>206</v>
      </c>
      <c r="B22" s="15">
        <v>12</v>
      </c>
      <c r="C22" s="15">
        <v>0</v>
      </c>
      <c r="D22" s="15">
        <v>0</v>
      </c>
      <c r="E22" s="15">
        <v>0</v>
      </c>
      <c r="F22" s="15" t="s">
        <v>207</v>
      </c>
    </row>
    <row r="23" spans="1:6" x14ac:dyDescent="0.35">
      <c r="A23" s="12" t="s">
        <v>208</v>
      </c>
      <c r="B23" s="13">
        <v>12</v>
      </c>
      <c r="C23" s="13">
        <v>0.77800000000000002</v>
      </c>
      <c r="D23" s="13">
        <v>0.35799999999999998</v>
      </c>
      <c r="E23" s="13">
        <v>0.10299999999999999</v>
      </c>
      <c r="F23" s="13">
        <v>0.46</v>
      </c>
    </row>
    <row r="24" spans="1:6" x14ac:dyDescent="0.35">
      <c r="A24" s="17"/>
      <c r="B24" s="17"/>
      <c r="C24" s="17"/>
      <c r="D24" s="17"/>
      <c r="E24" s="17"/>
      <c r="F24" s="17"/>
    </row>
  </sheetData>
  <mergeCells count="8">
    <mergeCell ref="A19:F19"/>
    <mergeCell ref="A24:F24"/>
    <mergeCell ref="I2:N2"/>
    <mergeCell ref="I6:N6"/>
    <mergeCell ref="I7:N7"/>
    <mergeCell ref="I9:N9"/>
    <mergeCell ref="I12:N12"/>
    <mergeCell ref="I13:N13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643F9E-7B5C-45F7-9347-806929D03EA4}">
  <dimension ref="A1:C15"/>
  <sheetViews>
    <sheetView workbookViewId="0">
      <selection activeCell="E11" sqref="E11"/>
    </sheetView>
  </sheetViews>
  <sheetFormatPr defaultRowHeight="14.5" x14ac:dyDescent="0.35"/>
  <cols>
    <col min="1" max="1" width="11.7265625" style="1" customWidth="1"/>
    <col min="2" max="2" width="15.90625" style="1" customWidth="1"/>
    <col min="3" max="3" width="15.453125" style="1" customWidth="1"/>
    <col min="4" max="16384" width="8.7265625" style="1"/>
  </cols>
  <sheetData>
    <row r="1" spans="1:3" x14ac:dyDescent="0.35">
      <c r="A1" s="3" t="s">
        <v>90</v>
      </c>
      <c r="B1" s="3" t="s">
        <v>166</v>
      </c>
      <c r="C1" s="3" t="s">
        <v>167</v>
      </c>
    </row>
    <row r="2" spans="1:3" x14ac:dyDescent="0.35">
      <c r="A2" s="1">
        <v>1</v>
      </c>
      <c r="B2" s="1">
        <v>0.7</v>
      </c>
      <c r="C2" s="1">
        <v>0.98788425000384328</v>
      </c>
    </row>
    <row r="3" spans="1:3" x14ac:dyDescent="0.35">
      <c r="A3" s="1">
        <v>2</v>
      </c>
      <c r="B3" s="1">
        <v>0.6</v>
      </c>
      <c r="C3" s="1">
        <v>2.2776326999999998</v>
      </c>
    </row>
    <row r="4" spans="1:3" x14ac:dyDescent="0.35">
      <c r="A4" s="1">
        <v>3</v>
      </c>
      <c r="B4" s="1">
        <v>0.7</v>
      </c>
      <c r="C4" s="1">
        <v>1.04698435</v>
      </c>
    </row>
    <row r="5" spans="1:3" x14ac:dyDescent="0.35">
      <c r="A5" s="1">
        <v>4</v>
      </c>
      <c r="B5" s="1">
        <v>0.7</v>
      </c>
      <c r="C5" s="1">
        <v>0.92491296000000001</v>
      </c>
    </row>
    <row r="6" spans="1:3" x14ac:dyDescent="0.35">
      <c r="A6" s="1">
        <v>5</v>
      </c>
      <c r="B6" s="1">
        <v>0.7</v>
      </c>
      <c r="C6" s="1">
        <v>0.86598614000000018</v>
      </c>
    </row>
    <row r="7" spans="1:3" x14ac:dyDescent="0.35">
      <c r="A7" s="1">
        <v>6</v>
      </c>
      <c r="B7" s="1">
        <v>0.5</v>
      </c>
      <c r="C7" s="1">
        <v>1.8546803500000002</v>
      </c>
    </row>
    <row r="8" spans="1:3" x14ac:dyDescent="0.35">
      <c r="A8" s="1">
        <v>7</v>
      </c>
      <c r="B8" s="1">
        <v>0.7</v>
      </c>
      <c r="C8" s="1">
        <v>1.20126471</v>
      </c>
    </row>
    <row r="9" spans="1:3" x14ac:dyDescent="0.35">
      <c r="A9" s="1">
        <v>8</v>
      </c>
      <c r="B9" s="1">
        <v>0.6</v>
      </c>
      <c r="C9" s="1">
        <v>1.0795391999999999</v>
      </c>
    </row>
    <row r="10" spans="1:3" x14ac:dyDescent="0.35">
      <c r="A10" s="1">
        <v>9</v>
      </c>
      <c r="B10" s="1">
        <v>0.7</v>
      </c>
      <c r="C10" s="1">
        <v>0.90628628000000011</v>
      </c>
    </row>
    <row r="11" spans="1:3" x14ac:dyDescent="0.35">
      <c r="A11" s="1">
        <v>10</v>
      </c>
      <c r="B11" s="1">
        <v>0.6</v>
      </c>
      <c r="C11" s="1">
        <v>1.1793063300079643</v>
      </c>
    </row>
    <row r="12" spans="1:3" x14ac:dyDescent="0.35">
      <c r="A12" s="1">
        <v>11</v>
      </c>
      <c r="B12" s="1">
        <v>0.9</v>
      </c>
      <c r="C12" s="1">
        <v>1.7271959600000002</v>
      </c>
    </row>
    <row r="13" spans="1:3" x14ac:dyDescent="0.35">
      <c r="A13" s="1">
        <v>12</v>
      </c>
      <c r="B13" s="1">
        <v>0.6</v>
      </c>
      <c r="C13" s="1">
        <v>1.6036860799999999</v>
      </c>
    </row>
    <row r="15" spans="1:3" x14ac:dyDescent="0.35">
      <c r="B15" s="4">
        <f>AVERAGE(B2:B13)</f>
        <v>0.66666666666666663</v>
      </c>
      <c r="C15" s="4">
        <f>AVERAGE(C2:C13)</f>
        <v>1.3046132758343172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p1</vt:lpstr>
      <vt:lpstr>p2</vt:lpstr>
      <vt:lpstr>p3</vt:lpstr>
      <vt:lpstr>p4</vt:lpstr>
      <vt:lpstr>p5</vt:lpstr>
      <vt:lpstr>p6</vt:lpstr>
      <vt:lpstr>p7</vt:lpstr>
      <vt:lpstr>p8</vt:lpstr>
      <vt:lpstr>p9</vt:lpstr>
      <vt:lpstr>p10</vt:lpstr>
      <vt:lpstr>p11</vt:lpstr>
      <vt:lpstr>p12</vt:lpstr>
      <vt:lpstr>descriptive stats</vt:lpstr>
      <vt:lpstr>anova_calc</vt:lpstr>
      <vt:lpstr>calculation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shrika soni</dc:creator>
  <cp:lastModifiedBy>shrika soni</cp:lastModifiedBy>
  <dcterms:created xsi:type="dcterms:W3CDTF">2025-11-20T04:19:37Z</dcterms:created>
  <dcterms:modified xsi:type="dcterms:W3CDTF">2025-11-24T13:44:04Z</dcterms:modified>
</cp:coreProperties>
</file>